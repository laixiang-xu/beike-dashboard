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468" windowHeight="9935"/>
  </bookViews>
  <sheets>
    <sheet name="Q1续费排名（4月~7月免检）" sheetId="19" r:id="rId1"/>
    <sheet name="免检累计" sheetId="28" state="hidden" r:id="rId2"/>
    <sheet name="2026年2月 免检名单及免检成绩 " sheetId="20" state="hidden" r:id="rId3"/>
    <sheet name="违规汇总" sheetId="4" r:id="rId4"/>
    <sheet name="退费学员明细" sheetId="15" r:id="rId5"/>
    <sheet name="高危投诉成立（4月无）" sheetId="5" r:id="rId6"/>
    <sheet name="授课老师请假记录（截至2025.10.21）" sheetId="27" state="hidden" r:id="rId7"/>
    <sheet name="老师维度结课续费率" sheetId="29" state="hidden" r:id="rId8"/>
  </sheets>
  <definedNames>
    <definedName name="_xlnm._FilterDatabase" localSheetId="0" hidden="1">'Q1续费排名（4月~7月免检）'!$A$4:$Y$26</definedName>
    <definedName name="_xlnm._FilterDatabase" localSheetId="1" hidden="1">免检累计!$A$3:$X$30</definedName>
    <definedName name="_xlnm._FilterDatabase" localSheetId="3" hidden="1">违规汇总!$A$1:$XFA$1048219</definedName>
    <definedName name="_xlnm._FilterDatabase" localSheetId="4" hidden="1">退费学员明细!$A$1:$AG$15</definedName>
    <definedName name="_xlnm._FilterDatabase" localSheetId="5" hidden="1">'高危投诉成立（4月无）'!$A$1:$AG$12</definedName>
    <definedName name="_xlnm._FilterDatabase" localSheetId="6" hidden="1">'授课老师请假记录（截至2025.10.21）'!$A$1:$L$54</definedName>
    <definedName name="_xlnm._FilterDatabase" localSheetId="7" hidden="1">老师维度结课续费率!$A$1:$Q$342</definedName>
    <definedName name="_xlnm._FilterDatabase" localSheetId="2" hidden="1">'2026年2月 免检名单及免检成绩 '!$A$2:$R$2</definedName>
    <definedName name="_401b80f76430491e871060038c73f7c3" comment="SSRRANGE" hidden="1">#REF!</definedName>
    <definedName name="_f662da42b20a40a28a58d15c4fb17702" comment="SSRRANGE" hidden="1">#REF!</definedName>
    <definedName name="_20094fd3531b4d37b20ea6f6c3ed52a1" comment="SSRRANGE" hidden="1">#REF!</definedName>
    <definedName name="_47bdee16c0c745ac9cc305a8d723a148" comment="SSRRANGE" hidden="1">#REF!</definedName>
    <definedName name="_08466c9c81dc47d7a4177d58ee8924a6" comment="SSRRANGE" hidden="1">#REF!</definedName>
    <definedName name="_1304e8c774be44f286877252c62a115e" comment="SSRRANGE" hidden="1">#REF!</definedName>
    <definedName name="_62dbb88bd33c43c1aac62f84dfd3a4b7" comment="SSRRANGE" hidden="1">#REF!</definedName>
    <definedName name="_f616a214aadf41aa8614395e1dcf5f59" comment="SSRRANGE" hidden="1">#REF!</definedName>
    <definedName name="_765006d8d0c14805b2ba5ec9b9e074ab" comment="SSRRANGE" hidden="1">#REF!</definedName>
    <definedName name="_c0338a0de61b404e98c8eac347f27595" comment="SSRRANGE" hidden="1">#REF!</definedName>
    <definedName name="_5e3f733abfdc443da99e59db69f360bb" comment="SSRRANGE" hidden="1">#REF!</definedName>
    <definedName name="_0c9c8cad842f4aec8f4c852d3e0ae6cd" comment="SSRRANGE" hidden="1">#REF!</definedName>
    <definedName name="_b7d0f98602084d38b9e2fa4ec5927328" comment="SSRRANGE" hidden="1">#REF!</definedName>
    <definedName name="_17c3c4441d0a40fd8d67074ba4146f0c" comment="SSRRANGE" hidden="1">#REF!</definedName>
    <definedName name="_ae60aff26ce74b52afafcc7b652942fb" comment="SSRRANGE" hidden="1">#REF!</definedName>
    <definedName name="_ae707e61bcbc4ceb882e11a042c9ac7b" comment="SSRRANGE" hidden="1">#REF!</definedName>
    <definedName name="_469b0b6087c74a14a2717502092ebfc1" comment="SSRRANGE">#REF!</definedName>
    <definedName name="_401b80f76430491e871060038c73f7c3" comment="SSRRANGE" localSheetId="3" hidden="1">#REF!</definedName>
    <definedName name="_f662da42b20a40a28a58d15c4fb17702" comment="SSRRANGE" localSheetId="3" hidden="1">#REF!</definedName>
    <definedName name="_20094fd3531b4d37b20ea6f6c3ed52a1" comment="SSRRANGE" localSheetId="3" hidden="1">#REF!</definedName>
    <definedName name="_47bdee16c0c745ac9cc305a8d723a148" comment="SSRRANGE" localSheetId="3" hidden="1">#REF!</definedName>
    <definedName name="_08466c9c81dc47d7a4177d58ee8924a6" comment="SSRRANGE" localSheetId="3" hidden="1">#REF!</definedName>
    <definedName name="_1304e8c774be44f286877252c62a115e" comment="SSRRANGE" localSheetId="3" hidden="1">#REF!</definedName>
    <definedName name="_62dbb88bd33c43c1aac62f84dfd3a4b7" comment="SSRRANGE" localSheetId="3" hidden="1">#REF!</definedName>
    <definedName name="_f616a214aadf41aa8614395e1dcf5f59" comment="SSRRANGE" localSheetId="3" hidden="1">#REF!</definedName>
    <definedName name="_765006d8d0c14805b2ba5ec9b9e074ab" comment="SSRRANGE" localSheetId="3" hidden="1">#REF!</definedName>
    <definedName name="_c0338a0de61b404e98c8eac347f27595" comment="SSRRANGE" localSheetId="3" hidden="1">#REF!</definedName>
    <definedName name="_5e3f733abfdc443da99e59db69f360bb" comment="SSRRANGE" localSheetId="3" hidden="1">#REF!</definedName>
    <definedName name="_0c9c8cad842f4aec8f4c852d3e0ae6cd" comment="SSRRANGE" localSheetId="3" hidden="1">#REF!</definedName>
    <definedName name="_b7d0f98602084d38b9e2fa4ec5927328" comment="SSRRANGE" localSheetId="3" hidden="1">#REF!</definedName>
    <definedName name="_17c3c4441d0a40fd8d67074ba4146f0c" comment="SSRRANGE" localSheetId="3" hidden="1">#REF!</definedName>
    <definedName name="_ae60aff26ce74b52afafcc7b652942fb" comment="SSRRANGE" localSheetId="3" hidden="1">#REF!</definedName>
    <definedName name="_ae707e61bcbc4ceb882e11a042c9ac7b" comment="SSRRANGE" localSheetId="3" hidden="1">#REF!</definedName>
    <definedName name="_469b0b6087c74a14a2717502092ebfc1" comment="SSRRANGE" localSheetId="3">#REF!</definedName>
    <definedName name="_401b80f76430491e871060038c73f7c3" localSheetId="5">#REF!</definedName>
    <definedName name="_f662da42b20a40a28a58d15c4fb17702" localSheetId="5">#REF!</definedName>
    <definedName name="_20094fd3531b4d37b20ea6f6c3ed52a1" localSheetId="5">#REF!</definedName>
    <definedName name="_47bdee16c0c745ac9cc305a8d723a148" localSheetId="5">#REF!</definedName>
    <definedName name="_08466c9c81dc47d7a4177d58ee8924a6" localSheetId="5">#REF!</definedName>
    <definedName name="_1304e8c774be44f286877252c62a115e" localSheetId="5">#REF!</definedName>
    <definedName name="_62dbb88bd33c43c1aac62f84dfd3a4b7" localSheetId="5">#REF!</definedName>
    <definedName name="_f616a214aadf41aa8614395e1dcf5f59" localSheetId="5">#REF!</definedName>
    <definedName name="_765006d8d0c14805b2ba5ec9b9e074ab" localSheetId="5">#REF!</definedName>
    <definedName name="_c0338a0de61b404e98c8eac347f27595" localSheetId="5">#REF!</definedName>
    <definedName name="_5e3f733abfdc443da99e59db69f360bb" localSheetId="5">#REF!</definedName>
    <definedName name="_0c9c8cad842f4aec8f4c852d3e0ae6cd" localSheetId="5">#REF!</definedName>
    <definedName name="_b7d0f98602084d38b9e2fa4ec5927328" localSheetId="5">#REF!</definedName>
    <definedName name="_17c3c4441d0a40fd8d67074ba4146f0c" localSheetId="5">#REF!</definedName>
    <definedName name="_ae60aff26ce74b52afafcc7b652942fb" localSheetId="5">#REF!</definedName>
    <definedName name="_ae707e61bcbc4ceb882e11a042c9ac7b" localSheetId="5">#REF!</definedName>
    <definedName name="_469b0b6087c74a14a2717502092ebfc1" localSheetId="5">#REF!</definedName>
    <definedName name="_401b80f76430491e871060038c73f7c3" comment="SSRRANGE" localSheetId="0" hidden="1">'Q1续费排名（4月~7月免检）'!#REF!</definedName>
    <definedName name="_f662da42b20a40a28a58d15c4fb17702" comment="SSRRANGE" localSheetId="0" hidden="1">'Q1续费排名（4月~7月免检）'!#REF!</definedName>
    <definedName name="_20094fd3531b4d37b20ea6f6c3ed52a1" comment="SSRRANGE" localSheetId="0" hidden="1">'Q1续费排名（4月~7月免检）'!#REF!</definedName>
    <definedName name="_47bdee16c0c745ac9cc305a8d723a148" comment="SSRRANGE" localSheetId="0" hidden="1">'Q1续费排名（4月~7月免检）'!#REF!</definedName>
    <definedName name="_08466c9c81dc47d7a4177d58ee8924a6" comment="SSRRANGE" localSheetId="0" hidden="1">'Q1续费排名（4月~7月免检）'!#REF!</definedName>
    <definedName name="_1304e8c774be44f286877252c62a115e" comment="SSRRANGE" localSheetId="0" hidden="1">'Q1续费排名（4月~7月免检）'!#REF!</definedName>
    <definedName name="_62dbb88bd33c43c1aac62f84dfd3a4b7" comment="SSRRANGE" localSheetId="0" hidden="1">'Q1续费排名（4月~7月免检）'!#REF!</definedName>
    <definedName name="_f616a214aadf41aa8614395e1dcf5f59" comment="SSRRANGE" localSheetId="0" hidden="1">'Q1续费排名（4月~7月免检）'!#REF!</definedName>
    <definedName name="_765006d8d0c14805b2ba5ec9b9e074ab" comment="SSRRANGE" localSheetId="0" hidden="1">'Q1续费排名（4月~7月免检）'!#REF!</definedName>
    <definedName name="_c0338a0de61b404e98c8eac347f27595" comment="SSRRANGE" localSheetId="0" hidden="1">'Q1续费排名（4月~7月免检）'!#REF!</definedName>
    <definedName name="_5e3f733abfdc443da99e59db69f360bb" comment="SSRRANGE" localSheetId="0" hidden="1">'Q1续费排名（4月~7月免检）'!#REF!</definedName>
    <definedName name="_0c9c8cad842f4aec8f4c852d3e0ae6cd" comment="SSRRANGE" localSheetId="0" hidden="1">'Q1续费排名（4月~7月免检）'!#REF!</definedName>
    <definedName name="_b7d0f98602084d38b9e2fa4ec5927328" comment="SSRRANGE" localSheetId="0" hidden="1">'Q1续费排名（4月~7月免检）'!#REF!</definedName>
    <definedName name="_17c3c4441d0a40fd8d67074ba4146f0c" comment="SSRRANGE" localSheetId="0" hidden="1">'Q1续费排名（4月~7月免检）'!#REF!</definedName>
    <definedName name="_ae60aff26ce74b52afafcc7b652942fb" comment="SSRRANGE" localSheetId="0" hidden="1">'Q1续费排名（4月~7月免检）'!#REF!</definedName>
    <definedName name="_ae707e61bcbc4ceb882e11a042c9ac7b" comment="SSRRANGE" localSheetId="0" hidden="1">'Q1续费排名（4月~7月免检）'!#REF!</definedName>
    <definedName name="_469b0b6087c74a14a2717502092ebfc1" comment="SSRRANGE" localSheetId="0">'Q1续费排名（4月~7月免检）'!#REF!</definedName>
    <definedName name="_401b80f76430491e871060038c73f7c3" comment="SSRRANGE" localSheetId="2" hidden="1">'2026年2月 免检名单及免检成绩 '!#REF!</definedName>
    <definedName name="_f662da42b20a40a28a58d15c4fb17702" comment="SSRRANGE" localSheetId="2" hidden="1">'2026年2月 免检名单及免检成绩 '!#REF!</definedName>
    <definedName name="_20094fd3531b4d37b20ea6f6c3ed52a1" comment="SSRRANGE" localSheetId="2" hidden="1">'2026年2月 免检名单及免检成绩 '!#REF!</definedName>
    <definedName name="_47bdee16c0c745ac9cc305a8d723a148" comment="SSRRANGE" localSheetId="2" hidden="1">'2026年2月 免检名单及免检成绩 '!#REF!</definedName>
    <definedName name="_08466c9c81dc47d7a4177d58ee8924a6" comment="SSRRANGE" localSheetId="2" hidden="1">'2026年2月 免检名单及免检成绩 '!#REF!</definedName>
    <definedName name="_1304e8c774be44f286877252c62a115e" comment="SSRRANGE" localSheetId="2" hidden="1">'2026年2月 免检名单及免检成绩 '!#REF!</definedName>
    <definedName name="_62dbb88bd33c43c1aac62f84dfd3a4b7" comment="SSRRANGE" localSheetId="2" hidden="1">'2026年2月 免检名单及免检成绩 '!#REF!</definedName>
    <definedName name="_f616a214aadf41aa8614395e1dcf5f59" comment="SSRRANGE" localSheetId="2" hidden="1">'2026年2月 免检名单及免检成绩 '!#REF!</definedName>
    <definedName name="_765006d8d0c14805b2ba5ec9b9e074ab" comment="SSRRANGE" localSheetId="2" hidden="1">'2026年2月 免检名单及免检成绩 '!#REF!</definedName>
    <definedName name="_c0338a0de61b404e98c8eac347f27595" comment="SSRRANGE" localSheetId="2" hidden="1">'2026年2月 免检名单及免检成绩 '!#REF!</definedName>
    <definedName name="_5e3f733abfdc443da99e59db69f360bb" comment="SSRRANGE" localSheetId="2" hidden="1">'2026年2月 免检名单及免检成绩 '!#REF!</definedName>
    <definedName name="_0c9c8cad842f4aec8f4c852d3e0ae6cd" comment="SSRRANGE" localSheetId="2" hidden="1">'2026年2月 免检名单及免检成绩 '!#REF!</definedName>
    <definedName name="_b7d0f98602084d38b9e2fa4ec5927328" comment="SSRRANGE" localSheetId="2" hidden="1">'2026年2月 免检名单及免检成绩 '!#REF!</definedName>
    <definedName name="_17c3c4441d0a40fd8d67074ba4146f0c" comment="SSRRANGE" localSheetId="2" hidden="1">'2026年2月 免检名单及免检成绩 '!#REF!</definedName>
    <definedName name="_ae60aff26ce74b52afafcc7b652942fb" comment="SSRRANGE" localSheetId="2" hidden="1">'2026年2月 免检名单及免检成绩 '!#REF!</definedName>
    <definedName name="_ae707e61bcbc4ceb882e11a042c9ac7b" comment="SSRRANGE" localSheetId="2" hidden="1">'2026年2月 免检名单及免检成绩 '!#REF!</definedName>
    <definedName name="_469b0b6087c74a14a2717502092ebfc1" comment="SSRRANGE" localSheetId="2">'2026年2月 免检名单及免检成绩 '!#REF!</definedName>
    <definedName name="_401b80f76430491e871060038c73f7c3" comment="SSRRANGE" localSheetId="1" hidden="1">免检累计!#REF!</definedName>
    <definedName name="_f662da42b20a40a28a58d15c4fb17702" comment="SSRRANGE" localSheetId="1" hidden="1">免检累计!#REF!</definedName>
    <definedName name="_20094fd3531b4d37b20ea6f6c3ed52a1" comment="SSRRANGE" localSheetId="1" hidden="1">免检累计!#REF!</definedName>
    <definedName name="_47bdee16c0c745ac9cc305a8d723a148" comment="SSRRANGE" localSheetId="1" hidden="1">免检累计!#REF!</definedName>
    <definedName name="_08466c9c81dc47d7a4177d58ee8924a6" comment="SSRRANGE" localSheetId="1" hidden="1">免检累计!#REF!</definedName>
    <definedName name="_1304e8c774be44f286877252c62a115e" comment="SSRRANGE" localSheetId="1" hidden="1">免检累计!#REF!</definedName>
    <definedName name="_62dbb88bd33c43c1aac62f84dfd3a4b7" comment="SSRRANGE" localSheetId="1" hidden="1">免检累计!#REF!</definedName>
    <definedName name="_f616a214aadf41aa8614395e1dcf5f59" comment="SSRRANGE" localSheetId="1" hidden="1">免检累计!#REF!</definedName>
    <definedName name="_765006d8d0c14805b2ba5ec9b9e074ab" comment="SSRRANGE" localSheetId="1" hidden="1">免检累计!#REF!</definedName>
    <definedName name="_c0338a0de61b404e98c8eac347f27595" comment="SSRRANGE" localSheetId="1" hidden="1">免检累计!#REF!</definedName>
    <definedName name="_5e3f733abfdc443da99e59db69f360bb" comment="SSRRANGE" localSheetId="1" hidden="1">免检累计!#REF!</definedName>
    <definedName name="_0c9c8cad842f4aec8f4c852d3e0ae6cd" comment="SSRRANGE" localSheetId="1" hidden="1">免检累计!#REF!</definedName>
    <definedName name="_b7d0f98602084d38b9e2fa4ec5927328" comment="SSRRANGE" localSheetId="1" hidden="1">免检累计!#REF!</definedName>
    <definedName name="_17c3c4441d0a40fd8d67074ba4146f0c" comment="SSRRANGE" localSheetId="1" hidden="1">免检累计!#REF!</definedName>
    <definedName name="_ae60aff26ce74b52afafcc7b652942fb" comment="SSRRANGE" localSheetId="1" hidden="1">免检累计!#REF!</definedName>
    <definedName name="_ae707e61bcbc4ceb882e11a042c9ac7b" comment="SSRRANGE" localSheetId="1" hidden="1">免检累计!#REF!</definedName>
    <definedName name="_469b0b6087c74a14a2717502092ebfc1" comment="SSRRANGE" localSheetId="1">免检累计!#REF!</definedName>
    <definedName name="_401b80f76430491e871060038c73f7c3" comment="SSRRANGE" localSheetId="7" hidden="1">老师维度结课续费率!#REF!</definedName>
    <definedName name="_f662da42b20a40a28a58d15c4fb17702" comment="SSRRANGE" localSheetId="7" hidden="1">老师维度结课续费率!#REF!</definedName>
    <definedName name="_20094fd3531b4d37b20ea6f6c3ed52a1" comment="SSRRANGE" localSheetId="7" hidden="1">老师维度结课续费率!#REF!</definedName>
    <definedName name="_47bdee16c0c745ac9cc305a8d723a148" comment="SSRRANGE" localSheetId="7" hidden="1">老师维度结课续费率!#REF!</definedName>
    <definedName name="_08466c9c81dc47d7a4177d58ee8924a6" comment="SSRRANGE" localSheetId="7" hidden="1">老师维度结课续费率!#REF!</definedName>
    <definedName name="_1304e8c774be44f286877252c62a115e" comment="SSRRANGE" localSheetId="7" hidden="1">老师维度结课续费率!#REF!</definedName>
    <definedName name="_62dbb88bd33c43c1aac62f84dfd3a4b7" comment="SSRRANGE" localSheetId="7" hidden="1">老师维度结课续费率!#REF!</definedName>
    <definedName name="_f616a214aadf41aa8614395e1dcf5f59" comment="SSRRANGE" localSheetId="7" hidden="1">老师维度结课续费率!#REF!</definedName>
    <definedName name="_765006d8d0c14805b2ba5ec9b9e074ab" comment="SSRRANGE" localSheetId="7" hidden="1">老师维度结课续费率!#REF!</definedName>
    <definedName name="_c0338a0de61b404e98c8eac347f27595" comment="SSRRANGE" localSheetId="7" hidden="1">老师维度结课续费率!#REF!</definedName>
    <definedName name="_5e3f733abfdc443da99e59db69f360bb" comment="SSRRANGE" localSheetId="7" hidden="1">老师维度结课续费率!#REF!</definedName>
    <definedName name="_0c9c8cad842f4aec8f4c852d3e0ae6cd" comment="SSRRANGE" localSheetId="7" hidden="1">老师维度结课续费率!#REF!</definedName>
    <definedName name="_b7d0f98602084d38b9e2fa4ec5927328" comment="SSRRANGE" localSheetId="7" hidden="1">老师维度结课续费率!#REF!</definedName>
    <definedName name="_17c3c4441d0a40fd8d67074ba4146f0c" comment="SSRRANGE" localSheetId="7" hidden="1">老师维度结课续费率!#REF!</definedName>
    <definedName name="_ae60aff26ce74b52afafcc7b652942fb" comment="SSRRANGE" localSheetId="7" hidden="1">老师维度结课续费率!#REF!</definedName>
    <definedName name="_ae707e61bcbc4ceb882e11a042c9ac7b" comment="SSRRANGE" localSheetId="7" hidden="1">老师维度结课续费率!#REF!</definedName>
    <definedName name="_469b0b6087c74a14a2717502092ebfc1" comment="SSRRANGE" localSheetId="7">老师维度结课续费率!#REF!</definedName>
  </definedNames>
  <calcPr calcId="144525"/>
</workbook>
</file>

<file path=xl/sharedStrings.xml><?xml version="1.0" encoding="utf-8"?>
<sst xmlns="http://schemas.openxmlformats.org/spreadsheetml/2006/main" count="3408" uniqueCount="803">
  <si>
    <t>说明：
免检：Q1续费率大于40%且排名在前10%，入职/返聘/返岗大于半年且Q1无违规记录；
分数线：S级分数线为82分，免检成绩除Q1期间老师月质检成绩最高分高于82分的取Q1最高月质检成绩作为免检成绩外，其余免检成绩均为82分。</t>
  </si>
  <si>
    <t>-</t>
  </si>
  <si>
    <t>否</t>
  </si>
  <si>
    <t>常规</t>
  </si>
  <si>
    <t>老师基本信息及续费排名</t>
  </si>
  <si>
    <t>免检相关</t>
  </si>
  <si>
    <t>入职时间</t>
  </si>
  <si>
    <t>老师学区</t>
  </si>
  <si>
    <t>老师团队</t>
  </si>
  <si>
    <t>老师小组</t>
  </si>
  <si>
    <t>归属
老师ID</t>
  </si>
  <si>
    <t>归属
老师艺名</t>
  </si>
  <si>
    <t>结课
学员数</t>
  </si>
  <si>
    <t>续费
学员数</t>
  </si>
  <si>
    <t>结课
续费率</t>
  </si>
  <si>
    <t>学区</t>
  </si>
  <si>
    <t>整体排名</t>
  </si>
  <si>
    <t>4月高危
投诉成立</t>
  </si>
  <si>
    <t>4月退费
人数（&gt;=3）</t>
  </si>
  <si>
    <t>Q1~4月
违规记录</t>
  </si>
  <si>
    <t>入职/返岗
未满半年</t>
  </si>
  <si>
    <t>5月~7月
免检资格</t>
  </si>
  <si>
    <t>5月最终
免检结果</t>
  </si>
  <si>
    <t>免检成绩</t>
  </si>
  <si>
    <t>Q1成绩
最高分</t>
  </si>
  <si>
    <t>1月
质检成绩</t>
  </si>
  <si>
    <t>2月
质检成绩</t>
  </si>
  <si>
    <t>3月
质检成绩</t>
  </si>
  <si>
    <t>备注</t>
  </si>
  <si>
    <t>教学一区</t>
  </si>
  <si>
    <t>福气满满团队</t>
  </si>
  <si>
    <t>多财多亿组</t>
  </si>
  <si>
    <t>阿花</t>
  </si>
  <si>
    <t>无</t>
  </si>
  <si>
    <t>4月退费学员人数大于等于3，取消5月免检</t>
  </si>
  <si>
    <t>排名前10%</t>
  </si>
  <si>
    <t>DEMO特战队</t>
  </si>
  <si>
    <t>脱颖而出组</t>
  </si>
  <si>
    <t>琳达</t>
  </si>
  <si>
    <t>5月免检</t>
  </si>
  <si>
    <t>姜汁</t>
  </si>
  <si>
    <t>节节高升团队</t>
  </si>
  <si>
    <t>B组</t>
  </si>
  <si>
    <t>九三</t>
  </si>
  <si>
    <t>教学二区</t>
  </si>
  <si>
    <t>MVP团队</t>
  </si>
  <si>
    <t>熠熠生辉组</t>
  </si>
  <si>
    <t>洛一</t>
  </si>
  <si>
    <t>教学三区</t>
  </si>
  <si>
    <t>朝气蓬勃团队</t>
  </si>
  <si>
    <t>朝朝</t>
  </si>
  <si>
    <t>风雨同粥团队</t>
  </si>
  <si>
    <t>同心协力组</t>
  </si>
  <si>
    <t>魔仙</t>
  </si>
  <si>
    <t>日星月异组</t>
  </si>
  <si>
    <t>涂图</t>
  </si>
  <si>
    <t>麦夏</t>
  </si>
  <si>
    <t>天使</t>
  </si>
  <si>
    <t>喜笑颜开组</t>
  </si>
  <si>
    <t>豆米</t>
  </si>
  <si>
    <t>波斯</t>
  </si>
  <si>
    <t>途遥心迩组</t>
  </si>
  <si>
    <t>茱恩</t>
  </si>
  <si>
    <t>梦珞</t>
  </si>
  <si>
    <t>云卷云舒团队</t>
  </si>
  <si>
    <t>狮来运转组</t>
  </si>
  <si>
    <t>枇杷</t>
  </si>
  <si>
    <t>奥林匹克团队</t>
  </si>
  <si>
    <t>闪亮登场组</t>
  </si>
  <si>
    <t>Angel</t>
  </si>
  <si>
    <t>贝儿</t>
  </si>
  <si>
    <t>阿颜</t>
  </si>
  <si>
    <t>百事可爱组</t>
  </si>
  <si>
    <t>小橙子</t>
  </si>
  <si>
    <t>一恬</t>
  </si>
  <si>
    <t>世外桃圆组</t>
  </si>
  <si>
    <t>penny</t>
  </si>
  <si>
    <t>生生不息组</t>
  </si>
  <si>
    <t>查查</t>
  </si>
  <si>
    <t>说明：
免检：Q4续费率大于40%且排名在前10%，入职/返聘/返岗大于半年且Q4无违规记录；
分数线：S级分数线为82分，免检成绩除Q4期间老师月质检成绩最高分高于82分的取Q4最高月质检成绩作为免检成绩外，其余免检成绩均为82分。</t>
  </si>
  <si>
    <t>1月高危
投诉成立</t>
  </si>
  <si>
    <t>1月退费
人数（&gt;=3）</t>
  </si>
  <si>
    <t>Q4~1月
违规记录</t>
  </si>
  <si>
    <t>2月~4月
免检资格</t>
  </si>
  <si>
    <t>2月最终
免检结果</t>
  </si>
  <si>
    <t>Q4成绩
最高分</t>
  </si>
  <si>
    <t>12月
质检成绩</t>
  </si>
  <si>
    <t>11月
质检成绩</t>
  </si>
  <si>
    <t>10月
质检成绩</t>
  </si>
  <si>
    <t>沐橙</t>
  </si>
  <si>
    <t>2月~4月免检</t>
  </si>
  <si>
    <t>2月免检</t>
  </si>
  <si>
    <t>畅通无组</t>
  </si>
  <si>
    <t>牛奶糖</t>
  </si>
  <si>
    <t>风华正茂组</t>
  </si>
  <si>
    <t>小呆</t>
  </si>
  <si>
    <t>月见</t>
  </si>
  <si>
    <t>智子</t>
  </si>
  <si>
    <t>喜气洋洋组</t>
  </si>
  <si>
    <t>小斤</t>
  </si>
  <si>
    <t>小落</t>
  </si>
  <si>
    <t>Kelly</t>
  </si>
  <si>
    <t>奇思妙想组</t>
  </si>
  <si>
    <t>欧气</t>
  </si>
  <si>
    <t>紫珊</t>
  </si>
  <si>
    <t>风雨无阻组</t>
  </si>
  <si>
    <t>符符</t>
  </si>
  <si>
    <t>King</t>
  </si>
  <si>
    <t>废寝忘食组</t>
  </si>
  <si>
    <t>秋丘</t>
  </si>
  <si>
    <t>依唯</t>
  </si>
  <si>
    <t>可爱多多组</t>
  </si>
  <si>
    <t>坨崽</t>
  </si>
  <si>
    <t>周六</t>
  </si>
  <si>
    <t>仙子</t>
  </si>
  <si>
    <t>南茜</t>
  </si>
  <si>
    <t>辣辣子</t>
  </si>
  <si>
    <t>叶子</t>
  </si>
  <si>
    <t>梓彤</t>
  </si>
  <si>
    <t>钙片</t>
  </si>
  <si>
    <t>米啦</t>
  </si>
  <si>
    <t>秋原</t>
  </si>
  <si>
    <t>有</t>
  </si>
  <si>
    <t>1月有高危投诉成立，取消2月免检</t>
  </si>
  <si>
    <t>说明：
免检：Q1续费率大于40%且排名在前10%，入职/返聘/返岗大于半年且Q3无违规记录；
分数线：S级分数线为82分，免检成绩除Q3期间老师月质检成绩最高分高于82分的取Q3最高月质检成绩作为免检成绩外，其余免检成绩均为82分。</t>
  </si>
  <si>
    <t>序号</t>
  </si>
  <si>
    <t>姓名</t>
  </si>
  <si>
    <t>艺名</t>
  </si>
  <si>
    <t>工号</t>
  </si>
  <si>
    <t>教学大区</t>
  </si>
  <si>
    <t>部门</t>
  </si>
  <si>
    <t>岗位</t>
  </si>
  <si>
    <t>实际违规日期</t>
  </si>
  <si>
    <t>违规情况</t>
  </si>
  <si>
    <t>处罚等级</t>
  </si>
  <si>
    <t>处罚月份</t>
  </si>
  <si>
    <t>处罚措施</t>
  </si>
  <si>
    <t>扣罚金额</t>
  </si>
  <si>
    <t>提供人</t>
  </si>
  <si>
    <t>陈艾琳</t>
  </si>
  <si>
    <t>艾月</t>
  </si>
  <si>
    <t>H0029574</t>
  </si>
  <si>
    <t>教学中心</t>
  </si>
  <si>
    <t>C区</t>
  </si>
  <si>
    <t>美术老师</t>
  </si>
  <si>
    <t>未专注于课堂教学的行为</t>
  </si>
  <si>
    <t>B</t>
  </si>
  <si>
    <t>2026年3月</t>
  </si>
  <si>
    <t xml:space="preserve">扣除对应的课时酬金费用，当月课程评级为B级（三星）。
</t>
  </si>
  <si>
    <t>当堂课酬</t>
  </si>
  <si>
    <t>金暖</t>
  </si>
  <si>
    <t>2026-03-07 18:30:00
《神奇种子：破壳新生》   在授课期间，老师出现打开其他网页浏览（小红书，钉钉，AI软件）和编辑文档的行为。在授课期间，老师存在非专注于课堂教学的行为。
具体时间点参考如下:
00:11:40~00:13:40、00:15:09~00:15:20、
00:17:41~00:20:29、00:49:24~00:55:01、
00:56:24~00:56:59、00:58:56~01:10:35、</t>
  </si>
  <si>
    <t>曹捷</t>
  </si>
  <si>
    <t>草子</t>
  </si>
  <si>
    <t>H0021746</t>
  </si>
  <si>
    <t>2026/2/11</t>
  </si>
  <si>
    <t>迟到</t>
  </si>
  <si>
    <t>专职迟到10min以内</t>
  </si>
  <si>
    <t>当节课程需要按时上完并扣除30元的课时酬金费用。</t>
  </si>
  <si>
    <t>教务</t>
  </si>
  <si>
    <t>2026/2/11  6:40:00 正式课  迟到7分钟，无报备，组长：草子老师自己睡过导致迟到‘；洛克：草子老师判为专职老师迟到10min以内</t>
  </si>
  <si>
    <t>马歆宇</t>
  </si>
  <si>
    <t>芸宝</t>
  </si>
  <si>
    <t>H0019596</t>
  </si>
  <si>
    <t>当月绩效评级不变，扣除提成奖金500元/次，并记过一次。</t>
  </si>
  <si>
    <t>2026-02-10 19:50:00
《我的情绪小怪兽》DC
   在视频时间00:39:57~00:40:54，老师出现视线向左侧看，同时嘴部频繁在动的动作，但没有听到老师讲解或点评的声音。在授课期间，老师存在非专注于课堂教学的行为。</t>
  </si>
  <si>
    <t>B（12个月内第2次B，本处罚月份内第2次B）</t>
  </si>
  <si>
    <t>当月绩效评级不变，扣除提成奖金500元/次，并记过一次。
员工在12个月内记过达两次，转出4个班级，且3个月内禁排新班，不可上体验课</t>
  </si>
  <si>
    <t>2026-03-15 10:40:00
《我的情绪小怪兽》DC   在授课期间，老师出现遮挡嘴部或偏头向一侧， 同时嘴部频繁在动的动作，但没有听到老师讲解或点评的声音。在授课期间，老师存在非专注于课堂教学的行为。
具体时间点参考如下:
00:39:30~00:39:57、00:44:41~00:45:30、00:50:25~00:50:35、00:54:56~00:55:21、</t>
  </si>
  <si>
    <t>徐圆圆</t>
  </si>
  <si>
    <t>Mollie</t>
  </si>
  <si>
    <t>H0019560</t>
  </si>
  <si>
    <t>2026/3/4</t>
  </si>
  <si>
    <t>B（12个月内第3次B，前2次时间2025年8月、2025年10月）</t>
  </si>
  <si>
    <t>当月绩效评级不变，并记过一次；且扣除 500元绩效奖金；
员工在12个月内记过达三次，则额外扣除500元奖金且转出4个班级，3个月内禁排新班，不可上体验课</t>
  </si>
  <si>
    <t>2026/3/4  23:50:00 正式课  迟到，组长：老师反馈说一直坐在电脑前等待上课，但由于电脑没有唤醒，时间没有更新，也没有拿手机，因此不知道时间。之前上课前都有电话提醒，昨天没有接到电话。直到接到教务老师的电话才知道上课了。已经特别提醒老师要自己关注时间；Tina老师：确认B级</t>
  </si>
  <si>
    <t>王雪莹</t>
  </si>
  <si>
    <t>H0120619</t>
  </si>
  <si>
    <t>2026/3/5</t>
  </si>
  <si>
    <t>A</t>
  </si>
  <si>
    <t>当月绩效评级不变，转出8个班级，半年内禁排新班，并记过一次，同时扣除当月1000元绩效奖金。</t>
  </si>
  <si>
    <t>2026/3/5  6:40:00 正式课  迟到近30分钟，无报备，组长：老师早上闹钟没响，导致睡过头，已经特别提醒老师要自己关注时间，多上几个闹钟；Tina：属实。A级违规</t>
  </si>
  <si>
    <t>胡睿楠</t>
  </si>
  <si>
    <t>瑞娜</t>
  </si>
  <si>
    <t>H0015805</t>
  </si>
  <si>
    <t>迟到行为</t>
  </si>
  <si>
    <t>B（12个月内第2次B，上次B类2025年7月）</t>
  </si>
  <si>
    <t>2026-02-27 23:50:00
《采集美好风光》   课间休息屏幕倒计时已结束(视频时间 40：30)，上课铃开始响且页面显示为"上课啦"后(视频时间 40:53后)，老师才回到B摄为学员播放下一步骤视频。老师在播放完视频后出现持续停留在B摄无实际动作（讲解或示范）超7分钟（00:42:36~00:50:03）的情况。综上，老师未按质检标准要求在课间休息倒计时第7~10分钟内切换A摄，并召回学员与学员进行互动，出现迟到23秒和非专注于课堂教学的行为。</t>
  </si>
  <si>
    <t>黄侦贞</t>
  </si>
  <si>
    <t>蒸蒸</t>
  </si>
  <si>
    <t>H0010397</t>
  </si>
  <si>
    <t>2026/3/20</t>
  </si>
  <si>
    <t>B（12个月内第2次B，上次B类2025年4月）</t>
  </si>
  <si>
    <t>2026/3/20  10:40:00 正式课  课前无报备，教务联系时无回应，启用值班后原老师才迟到登录，组长：蒸蒸老师反馈记错了上课时间，导致迟到。缦缦：情况属实确认B级</t>
  </si>
  <si>
    <t>杜雨璐</t>
  </si>
  <si>
    <t>雨橙子</t>
  </si>
  <si>
    <t>H0020488</t>
  </si>
  <si>
    <t>C</t>
  </si>
  <si>
    <t>当月绩效评级不变，记C类处罚，警告一次，扣除200元绩效奖</t>
  </si>
  <si>
    <t>2026-02-13 16:40:00
《装备，升级！》   课间休息屏幕倒计时已结束(视频时间 42：18)，上课铃开始响且页面显示为"上课啦"后(视频时间 42:26后)，老师才切回到A摄画面回到课堂并开始召唤学员赶紧回到座位继续上课，而该动作按要求本应在倒计时第7~10分钟内完成。综上，老师未按质检标准要求在课间休息倒计时第7~10分钟内切换A摄，并召回学员与学员进行互动，出现迟到行为。</t>
  </si>
  <si>
    <t>解除合作关系</t>
  </si>
  <si>
    <t>半年内艾月（陈艾琳）老师在32堂课中均出现违规情况 ，故已与 陈艾琳（艾月）解除合作关系</t>
  </si>
  <si>
    <t xml:space="preserve"> - </t>
  </si>
  <si>
    <t>陈艾琳（艾月）老师在2026-02-07 至2026-03-22期间，共计出现32条授课违规案例， 授课期间做与授课无关的事情，包含但不限于：授课期间浏览其他页面、授课期间出现聊天框和他人聊天、授课期间用其他软件编辑求职信息、授课期间编辑文档、授课期间下载浏览器、授课期间刷小红书等，情节非常严重！</t>
  </si>
  <si>
    <t>王蕤林</t>
  </si>
  <si>
    <t>草莓派</t>
  </si>
  <si>
    <t>H0019191</t>
  </si>
  <si>
    <t>2026年2月</t>
  </si>
  <si>
    <t>2026-01-25 08:00:00
《闪耀小马来啦-素材强化》   结合用户高危反馈内容，跟进课堂情况：老师停留在B摄无实际动作（无讲解或示范）累计停留时间超11分钟。在授课期间，老师存在未专注于课堂教学的行为。 
具体时间参考如下：
00:26:04~00:29:00
00:55:50~00:58:28
01:03:00~01:04:13
01:06:40~01:09:50
01:10:35~01:11:50</t>
  </si>
  <si>
    <t>谭颖婕</t>
  </si>
  <si>
    <t>缘子</t>
  </si>
  <si>
    <t>H0014595</t>
  </si>
  <si>
    <t>2025/12/30</t>
  </si>
  <si>
    <t>课前联系不上</t>
  </si>
  <si>
    <t>2025/12/30  19:50:00 专题课  原老师课前联系不上，启用值班；组长：缘子老师因生病晕过去了，醒来时已经是迟到的时间，目前先让老师去医院检查，很抱歉带来了麻烦。洛克：缘子老师按照专职违规，判为：授课迟到 （10min 以内）</t>
  </si>
  <si>
    <t>杨秋烨</t>
  </si>
  <si>
    <t>秋叶</t>
  </si>
  <si>
    <t>H0012000</t>
  </si>
  <si>
    <t>2026/2/25</t>
  </si>
  <si>
    <t>2026/2/25  23:50:00 正式课  迟到，课前无报备，组长：老师回复电脑更新重启，与教务沟通在11.50，已经明确告知老师要求。</t>
  </si>
  <si>
    <t>彭晶晶</t>
  </si>
  <si>
    <t>豆蔻</t>
  </si>
  <si>
    <t>H0014649</t>
  </si>
  <si>
    <t>2026/1/18</t>
  </si>
  <si>
    <t>2026年1月</t>
  </si>
  <si>
    <t>2026/1/18  23:50:00 正式课  迟到，课前无报备，组长：麻烦教务老师了，老师确实因为自己的原因导致迟到，课前发现无线网用不了，就切换网络调整，调整的时候发现自己来不及报备，手机也没电了，进入时迟到7秒，已经告知老师后续注意！洛克：按照专职违规，判为：授课迟到 （10min 以内）</t>
  </si>
  <si>
    <t>周潇琳</t>
  </si>
  <si>
    <t>简夏</t>
  </si>
  <si>
    <t>H0029392</t>
  </si>
  <si>
    <t>2026/1/24</t>
  </si>
  <si>
    <t>专职旷课</t>
  </si>
  <si>
    <t>旷课一次费用扣减200元。</t>
  </si>
  <si>
    <t>2026/1/24  10:40:00 正式课  原老师课前联系不上，组长：简夏老师新接的班级看错成晚上的时间段班级，专职老师缺课；洛克老师：简夏老师判专职旷课</t>
  </si>
  <si>
    <t>童雅慧</t>
  </si>
  <si>
    <t>大慧慧</t>
  </si>
  <si>
    <t>H0010157</t>
  </si>
  <si>
    <t>2026/1/7 8:00:00
《大步向前》   课间休息屏幕倒计时已结束(视频时间 40：40)，上课铃开始响且页面显示为"上课啦"后(视频时间 40:46后)，老师才切回到A摄画面回到课堂并开始召唤学员赶紧回到座位继续上课，而该动作按要求本应在倒计时第7~10分钟内完成。综上，老师未按质检标准要求在课间休息倒计时第7~10分钟内切换A摄，并召回学员与学员进行互动，出现迟到行为。</t>
  </si>
  <si>
    <t>金紫璇</t>
  </si>
  <si>
    <t>娃娃</t>
  </si>
  <si>
    <t>H0011589</t>
  </si>
  <si>
    <t>2026/1/2</t>
  </si>
  <si>
    <t>2026/1/2  10:40:00 正式课  迟到，9：20无课，课前无主动报备，</t>
  </si>
  <si>
    <t>左琦</t>
  </si>
  <si>
    <t>琦琦左</t>
  </si>
  <si>
    <t>H0022356</t>
  </si>
  <si>
    <t>B（12个月内第2次B，上次B类2025年6月）</t>
  </si>
  <si>
    <t>2026/1/22 15:20:00
《天空之色》   课间休息屏幕倒计时已结束(视频时间 41：09)，上课铃开始响且页面显示为"上课啦"后(视频时间 42:10后)，老师才切回到A摄画面回到课堂并开始召唤学员赶紧回到座位继续上课，而该动作按要求本应在倒计时第7~10分钟内完成。老师虽在回来时有告知学员自己迟到的原因，但视频可见老师在上课铃响后（视频时间42:06）才匆忙回到位置再转回A摄（在老师回来之前，B摄显示为静止画面）。综上，老师未按质检标准要求在课间休息倒计时第7~10分钟内切换A摄，并召回学员与学员进行互动，出现迟到一分钟的行为。</t>
  </si>
  <si>
    <t>范艺</t>
  </si>
  <si>
    <t>Pennie</t>
  </si>
  <si>
    <t>H0024229</t>
  </si>
  <si>
    <t>B（12个月内第3次B，前2次时间2025年8月、2025年11月）</t>
  </si>
  <si>
    <t>2026年4月</t>
  </si>
  <si>
    <t xml:space="preserve">2026/3/25 22:30:00
《我的情绪小怪兽》DC老师停留在B摄无实际动作（无讲解或示范）累计停留时间超6分钟。在授课期间，老师存在未专注于课堂教学的行为。 
具体时间参考如下：
00:51:32~00:55:12
00:55:20~00:58:24
</t>
  </si>
  <si>
    <t>侯玉琼</t>
  </si>
  <si>
    <t>思喵</t>
  </si>
  <si>
    <t>H0011250</t>
  </si>
  <si>
    <t>专职C区</t>
  </si>
  <si>
    <t>扣除对应的课时酬金费用50，当月课程评级为B级（三星）。</t>
  </si>
  <si>
    <t>2026-03-29 16:40:00
《春日回归-全维检核强化》结合用户（4409318）高危反馈内容，跟进课堂情况：在授课期间，老师多次出现偏头向下， 同时嘴部频繁在动的动作，但没有听到老师讲解或点评的声音。而且镜头前短暂出现他人的身影（视频时间01:07:22）。在授课期间，老师存在非专注于课堂教学的行为。
具体时间点参考如下:
01:00:40~01:01:05、01:01:25~01:02:35、01:02:56~01:03:35、01:03:49~01:07:12、</t>
  </si>
  <si>
    <t>B（12个月内第3次B，前2次时间2025年7月、2026年2月）</t>
  </si>
  <si>
    <t>2026-03-21 22:30:00
《静谧的森林》课间休息屏幕倒计时已结束(视频时间 40：25)，上课铃开始响且页面显示为"上课啦"后(视频时间 40:36后)，老师才切回到A摄画面回到课堂并开始召唤学员赶紧回到座位继续上课，而该动作按要求本应在倒计时第7~10分钟内完成。综上，老师未按质检标准要求在课间休息倒计时第7~10分钟内切换A摄，并召回学员与学员进行互动，出现迟到行为。</t>
  </si>
  <si>
    <t>造假行为</t>
  </si>
  <si>
    <t>B（12个月内第2次B，上次B类2026年2月）</t>
  </si>
  <si>
    <t>教研范画造假
关于秋叶老师备课解析范画提交非手绘事件说明
一、教研及师训：
判定结论：老师范画非手绘
原因：
①两张作品高度重合，连胡须，细节都保持一模一样
②第一张眼睛绿色有虹膜光影的手绘质感，第二张的蓝色眼睛质感偏平，无厚度反光质感，像贴图/滤镜质感
③若是老师真实手绘，老师无法擦除猎豹本身，体现不了画面笔触等真实质感，无法证明。
二、老师本人：
反馈结论：作品为自己手绘
原因：秋叶老师保留了画作，且回家手持范画录制了一个视频，非直接截图，组长与老师再三核对老师确认说是自己画的
三、教学组长及经理：
判定结论：判定范画造假
原因：老师画作几乎和原图一致，细节相似度极高，且要求擦拭证明主体物本身有无笔触，老师说擦不掉，无法证明手绘的真实性
综上:秋叶老师没有实质性证据证明提交作品为真实手绘，并且教学+师训+教研均不认可老师称述的手绘原因，应以范画造假处理</t>
  </si>
  <si>
    <t>朱宇杰</t>
  </si>
  <si>
    <t>无忧</t>
  </si>
  <si>
    <t>H0010744</t>
  </si>
  <si>
    <t>B（12个月内第2次B，上次B类2025年12月）</t>
  </si>
  <si>
    <t>2026-03-22 10:40:00
《静谧的森林》课间休息屏幕倒计时已结束(视频时间 41：36)，上课铃开始响且页面显示为"上课啦"后(视频时间 41:39后)，老师才切回到A摄画面回到课堂并开始召唤学员赶紧回到座位继续上课，而该动作按要求本应在倒计时第7~10分钟内完成。综上，老师未按质检标准要求在课间休息倒计时第7~10分钟内切换A摄，并召回学员与学员进行互动，出现迟到行为。</t>
  </si>
  <si>
    <t>章雨濛</t>
  </si>
  <si>
    <t>肥肥噗</t>
  </si>
  <si>
    <t>P0004343</t>
  </si>
  <si>
    <t>B（12个月内第2次B，上次B类2025年11月）</t>
  </si>
  <si>
    <t>群服务造假
在质检群服务相关数据时，老师出现群服务内容与实际不符的情况（学员缺席3月4号的首课，老师却在3月5号发送了首课【表现】的上课反馈）。</t>
  </si>
  <si>
    <t>杨琪</t>
  </si>
  <si>
    <t>color</t>
  </si>
  <si>
    <t>H0024230</t>
  </si>
  <si>
    <t>早退</t>
  </si>
  <si>
    <t>首次违规警告一次。</t>
  </si>
  <si>
    <t>2026/3/7 8:00:00 专题课,强化课
原老师09:05:28提前退出课室，组长：老师该节课为单人强化课堂，孩子在课间休息时间已经把所有步骤提前完成。下半节课老师按照孩子绘画进度，另行教导孩子进行进阶绘画调整，完善画面效果，途中多次引导孩子增加细节和画面，后离课程结束还有3分钟，孩子已有不耐烦情绪，且孩子已完整超标的完成画作，故老师让孩子提早2-3分钟下课。已提醒老师后续不要提前退出课堂。以下是课程视频链接和时间段说明：缦缦：情况属实，但位影响学员体验，故C级惩戒</t>
  </si>
  <si>
    <t>聂柳平</t>
  </si>
  <si>
    <t>椒糖</t>
  </si>
  <si>
    <t>P0004541</t>
  </si>
  <si>
    <t>2026/3/28 14:00:00 专题课原老师课前联系不上，启用值班；组长：椒糖老师忘记查看课表，遗忘专题课；缦缦老师：情况属实确认B级</t>
  </si>
  <si>
    <t>申请退费ID</t>
  </si>
  <si>
    <t>退费归属老师ID</t>
  </si>
  <si>
    <t>退费归属老师艺名</t>
  </si>
  <si>
    <t>退费归属老师学区</t>
  </si>
  <si>
    <t>退费归属老师团队</t>
  </si>
  <si>
    <t>退费归属老师小组</t>
  </si>
  <si>
    <t>标识时间</t>
  </si>
  <si>
    <t>学员ID</t>
  </si>
  <si>
    <t>学员姓名</t>
  </si>
  <si>
    <t>是否新生退费</t>
  </si>
  <si>
    <t>地区</t>
  </si>
  <si>
    <t>出生日期</t>
  </si>
  <si>
    <t>申请退费时间</t>
  </si>
  <si>
    <t>退费申请人ID</t>
  </si>
  <si>
    <t>退费申请人姓名</t>
  </si>
  <si>
    <t>退费申请人岗位</t>
  </si>
  <si>
    <t>退费类型</t>
  </si>
  <si>
    <t>挽单结果</t>
  </si>
  <si>
    <t>处理方式</t>
  </si>
  <si>
    <t>退款状态</t>
  </si>
  <si>
    <t>退款进度</t>
  </si>
  <si>
    <t>最后处理时间/退款成功时间</t>
  </si>
  <si>
    <t>退款原因</t>
  </si>
  <si>
    <t>一级退款原因</t>
  </si>
  <si>
    <t>二级退款原因</t>
  </si>
  <si>
    <t>申请退款金额</t>
  </si>
  <si>
    <t>退费前累计消课数</t>
  </si>
  <si>
    <t>退费周期生命周期分类</t>
  </si>
  <si>
    <t>是否未分班退费</t>
  </si>
  <si>
    <t>退费周期课包分类</t>
  </si>
  <si>
    <t>大V渠道</t>
  </si>
  <si>
    <t>学员数</t>
  </si>
  <si>
    <t>免检</t>
  </si>
  <si>
    <t>雨宸</t>
  </si>
  <si>
    <t>国内</t>
  </si>
  <si>
    <t>刘佳彤</t>
  </si>
  <si>
    <t>班主任</t>
  </si>
  <si>
    <t>续费</t>
  </si>
  <si>
    <t>申请退费</t>
  </si>
  <si>
    <t>退款成功</t>
  </si>
  <si>
    <t>已退款</t>
  </si>
  <si>
    <t>首挽人：乔蒂老师
用户申请退费时间：2026年3月22日
挽单方式：
退费金额：
退费原因：没时间上，也不认可停课,</t>
  </si>
  <si>
    <t>学员原因</t>
  </si>
  <si>
    <t>身体健康问题（视力/身体等）</t>
  </si>
  <si>
    <t>12节后退费</t>
  </si>
  <si>
    <t>续费_未开课退费</t>
  </si>
  <si>
    <t>鱼sir</t>
  </si>
  <si>
    <t>小团子</t>
  </si>
  <si>
    <t>是</t>
  </si>
  <si>
    <t>沈雪</t>
  </si>
  <si>
    <t>首报</t>
  </si>
  <si>
    <t>挽单失败，孩子不适应当下的学习模式,家长想要去线下，不适应线上</t>
  </si>
  <si>
    <t>1-4节退费</t>
  </si>
  <si>
    <t>新签_4节课内退费</t>
  </si>
  <si>
    <t>元宝</t>
  </si>
  <si>
    <t>李嘉涛</t>
  </si>
  <si>
    <t>二次挽单失败 已核对金额,爸爸不同意继续学画画，卷孩子奥数，因为学画画的问题夫妻还吵架吵得很凶，孩子自己也觉得太累了</t>
  </si>
  <si>
    <t>学员原因,家长原因</t>
  </si>
  <si>
    <t>时间问题</t>
  </si>
  <si>
    <t>续费_已开课退费</t>
  </si>
  <si>
    <t>瑶瑶</t>
  </si>
  <si>
    <t>海外</t>
  </si>
  <si>
    <t>李新鹏</t>
  </si>
  <si>
    <t>,</t>
  </si>
  <si>
    <t>新签_4节课外退费</t>
  </si>
  <si>
    <t>美宝</t>
  </si>
  <si>
    <t>邓洁莹</t>
  </si>
  <si>
    <t>其他</t>
  </si>
  <si>
    <t>IVY</t>
  </si>
  <si>
    <t>梁雨晴</t>
  </si>
  <si>
    <t>课程时间不合适，没时间上课·····,</t>
  </si>
  <si>
    <t>兴趣问题,无法陪同</t>
  </si>
  <si>
    <t>周子荷</t>
  </si>
  <si>
    <t>罗梦林</t>
  </si>
  <si>
    <t>孩子周末一直有上线下的素描课，时间来不及，觉得没必要加课，申请退费,</t>
  </si>
  <si>
    <t>兴趣问题,时间问题</t>
  </si>
  <si>
    <t>多布杰</t>
  </si>
  <si>
    <t>张天齐</t>
  </si>
  <si>
    <t>二次挽单失败 已核对金额,家长不喜欢我们的课程，孩子自己喜欢，申请退款</t>
  </si>
  <si>
    <t>家长理念</t>
  </si>
  <si>
    <t>霄霄</t>
  </si>
  <si>
    <t>刘日晴</t>
  </si>
  <si>
    <t>,孩子不喜欢不想上了要求退费</t>
  </si>
  <si>
    <t>Henry</t>
  </si>
  <si>
    <t>焦鹏飞</t>
  </si>
  <si>
    <t>储备销售主管</t>
  </si>
  <si>
    <t>兴趣问题</t>
  </si>
  <si>
    <t>Kendall</t>
  </si>
  <si>
    <t>孙浩桐</t>
  </si>
  <si>
    <t>小土豆</t>
  </si>
  <si>
    <t>陈伟霞</t>
  </si>
  <si>
    <t>憨爸 无扣费,孩子不喜欢，平时上课坐不住，上课期间有好几次中途说不想画了，课堂上多次拒绝老师的指导</t>
  </si>
  <si>
    <t>君君</t>
  </si>
  <si>
    <t>鄞炫</t>
  </si>
  <si>
    <t>孩子现在没时间上课，停课很久了，家长要求退费，挽单失败,孩子没时间上课，停课很久了，家长要求退费，挽单失败</t>
  </si>
  <si>
    <t>豪仔</t>
  </si>
  <si>
    <t>冯如蓝</t>
  </si>
  <si>
    <t>家长去年就提出孩子时间紧张，明确随着年龄增长不再学习，拒绝停课方案，明确进行退费,孩子现在已经上到初中了，时间实在紧张，家长拒绝停课方案，强烈要求进行退费</t>
  </si>
  <si>
    <t>直播房间学生预约ID</t>
  </si>
  <si>
    <t>提交时间</t>
  </si>
  <si>
    <t>学员一级地区</t>
  </si>
  <si>
    <t>学员二级地区</t>
  </si>
  <si>
    <t>学员三级地区</t>
  </si>
  <si>
    <t>课程类型</t>
  </si>
  <si>
    <t>课程时间</t>
  </si>
  <si>
    <t>课程名称</t>
  </si>
  <si>
    <t>课程阶段</t>
  </si>
  <si>
    <t>老师ID</t>
  </si>
  <si>
    <t>老师艺名</t>
  </si>
  <si>
    <t>老师姓名</t>
  </si>
  <si>
    <t>被投诉
对象上级</t>
  </si>
  <si>
    <t>教师总评</t>
  </si>
  <si>
    <t>课程总评</t>
  </si>
  <si>
    <t>对老师的建议</t>
  </si>
  <si>
    <t>对课程的建议</t>
  </si>
  <si>
    <t>是否新生前12节</t>
  </si>
  <si>
    <t>被投诉对象
上级跟进说明</t>
  </si>
  <si>
    <t>被投诉对象
上级判责</t>
  </si>
  <si>
    <t>质检审核</t>
  </si>
  <si>
    <t>教学团队上级
跟进说明</t>
  </si>
  <si>
    <t>教学团队
上级判责</t>
  </si>
  <si>
    <t>最终判责结果</t>
  </si>
  <si>
    <t>质检复核详情</t>
  </si>
  <si>
    <t>投诉成立类型</t>
  </si>
  <si>
    <r>
      <rPr>
        <b/>
        <sz val="9"/>
        <color rgb="FFC00000"/>
        <rFont val="微软雅黑"/>
        <charset val="134"/>
      </rPr>
      <t>是否及时</t>
    </r>
    <r>
      <rPr>
        <b/>
        <sz val="9"/>
        <color theme="5" tint="-0.25"/>
        <rFont val="微软雅黑"/>
        <charset val="134"/>
      </rPr>
      <t>按流程跟进</t>
    </r>
  </si>
  <si>
    <t>check</t>
  </si>
  <si>
    <t>老师真名</t>
  </si>
  <si>
    <t>当前岗位</t>
  </si>
  <si>
    <t>请假类型</t>
  </si>
  <si>
    <t>请假开始时间</t>
  </si>
  <si>
    <t>请假结束时间</t>
  </si>
  <si>
    <t>请假时长</t>
  </si>
  <si>
    <t>审批结果</t>
  </si>
  <si>
    <t>发起审批时间</t>
  </si>
  <si>
    <t>H0003983</t>
  </si>
  <si>
    <t>孙雨铮</t>
  </si>
  <si>
    <t>小鱼干</t>
  </si>
  <si>
    <t>产假</t>
  </si>
  <si>
    <t>同意</t>
  </si>
  <si>
    <t>H0019640</t>
  </si>
  <si>
    <t>莫敏清</t>
  </si>
  <si>
    <t>哪吒老师</t>
  </si>
  <si>
    <t>H0120407</t>
  </si>
  <si>
    <t>张颖</t>
  </si>
  <si>
    <t>啊呜</t>
  </si>
  <si>
    <t>教学主管</t>
  </si>
  <si>
    <t>H0010399</t>
  </si>
  <si>
    <t>许敏丽</t>
  </si>
  <si>
    <t>岩盐</t>
  </si>
  <si>
    <t>H0011360</t>
  </si>
  <si>
    <t>王文</t>
  </si>
  <si>
    <t>小闻</t>
  </si>
  <si>
    <t>H0010532</t>
  </si>
  <si>
    <t>吴妙盈</t>
  </si>
  <si>
    <t>盈盈老师</t>
  </si>
  <si>
    <t>教学组长</t>
  </si>
  <si>
    <t>H0010846</t>
  </si>
  <si>
    <t>张兰芬</t>
  </si>
  <si>
    <t>可艾</t>
  </si>
  <si>
    <t>H0022360</t>
  </si>
  <si>
    <t>梁凯君</t>
  </si>
  <si>
    <t>莙莙</t>
  </si>
  <si>
    <t>H0005034</t>
  </si>
  <si>
    <t>梁丽香</t>
  </si>
  <si>
    <t>阿星</t>
  </si>
  <si>
    <t>H0011606</t>
  </si>
  <si>
    <t>王薇</t>
  </si>
  <si>
    <t>月夕</t>
  </si>
  <si>
    <t>H0010394</t>
  </si>
  <si>
    <t>袁南婷</t>
  </si>
  <si>
    <t>milk</t>
  </si>
  <si>
    <t>H0014703</t>
  </si>
  <si>
    <t>谢柳花</t>
  </si>
  <si>
    <t>阿夕</t>
  </si>
  <si>
    <t>教务专员</t>
  </si>
  <si>
    <t>P0005179</t>
  </si>
  <si>
    <t>杨晶晶</t>
  </si>
  <si>
    <t>拾月</t>
  </si>
  <si>
    <t>H0001172</t>
  </si>
  <si>
    <t>陈欣欣</t>
  </si>
  <si>
    <t>洋洋</t>
  </si>
  <si>
    <t>H0011362</t>
  </si>
  <si>
    <t>王乐</t>
  </si>
  <si>
    <t>艾啦</t>
  </si>
  <si>
    <t>H0001541</t>
  </si>
  <si>
    <t>甘艳</t>
  </si>
  <si>
    <t>甘甘</t>
  </si>
  <si>
    <t>P0003553</t>
  </si>
  <si>
    <t>李婷</t>
  </si>
  <si>
    <t>听听</t>
  </si>
  <si>
    <t>P0003247</t>
  </si>
  <si>
    <t>邓娜</t>
  </si>
  <si>
    <t>甜酥</t>
  </si>
  <si>
    <t>H0010557</t>
  </si>
  <si>
    <t>汤雪薇</t>
  </si>
  <si>
    <t>Bekka</t>
  </si>
  <si>
    <t>H0010562</t>
  </si>
  <si>
    <t>殷凤洁</t>
  </si>
  <si>
    <t>Jessie</t>
  </si>
  <si>
    <t>H0023353</t>
  </si>
  <si>
    <t>蔡莹莹</t>
  </si>
  <si>
    <t>阿咩</t>
  </si>
  <si>
    <t>H0004450</t>
  </si>
  <si>
    <t>焦慧敏</t>
  </si>
  <si>
    <t>琳娜</t>
  </si>
  <si>
    <t>H0021915</t>
  </si>
  <si>
    <t>景苏雅</t>
  </si>
  <si>
    <t>苏雅</t>
  </si>
  <si>
    <t>H0010474</t>
  </si>
  <si>
    <t>李素云</t>
  </si>
  <si>
    <t>彼心</t>
  </si>
  <si>
    <t>H0027097</t>
  </si>
  <si>
    <t>邢胜男</t>
  </si>
  <si>
    <t>邢胜男Faith老师</t>
  </si>
  <si>
    <t>H0012122</t>
  </si>
  <si>
    <t>张晓恒</t>
  </si>
  <si>
    <t>硬糖</t>
  </si>
  <si>
    <t>H0010402</t>
  </si>
  <si>
    <t>黄嫒</t>
  </si>
  <si>
    <t>小AI</t>
  </si>
  <si>
    <t>H0012479</t>
  </si>
  <si>
    <t>邓梦婷</t>
  </si>
  <si>
    <t>枫蜜</t>
  </si>
  <si>
    <t>P0003847</t>
  </si>
  <si>
    <t>马荣彬</t>
  </si>
  <si>
    <t>咕哩</t>
  </si>
  <si>
    <t>H0120576</t>
  </si>
  <si>
    <t>黄晓丰</t>
  </si>
  <si>
    <t>爽子</t>
  </si>
  <si>
    <t>P0003686</t>
  </si>
  <si>
    <t>杨水晶</t>
  </si>
  <si>
    <t>子晶</t>
  </si>
  <si>
    <t>H0021479</t>
  </si>
  <si>
    <t>祝馨</t>
  </si>
  <si>
    <t>爱莉</t>
  </si>
  <si>
    <t>H0011249</t>
  </si>
  <si>
    <t>吴蓉</t>
  </si>
  <si>
    <t>米团</t>
  </si>
  <si>
    <t>H0010386</t>
  </si>
  <si>
    <t>冯家敏</t>
  </si>
  <si>
    <t>橙籽</t>
  </si>
  <si>
    <t>H0019484</t>
  </si>
  <si>
    <t>张萌迪</t>
  </si>
  <si>
    <t>DiDi</t>
  </si>
  <si>
    <t>H0011884</t>
  </si>
  <si>
    <t>刘小娜</t>
  </si>
  <si>
    <t>新知</t>
  </si>
  <si>
    <t>架构分类</t>
  </si>
  <si>
    <t>归属老师ID</t>
  </si>
  <si>
    <t>归属老师艺名</t>
  </si>
  <si>
    <t>离职时间</t>
  </si>
  <si>
    <t>结课学员数</t>
  </si>
  <si>
    <t>续费学员数</t>
  </si>
  <si>
    <t>结课续费率</t>
  </si>
  <si>
    <t>国内结课学员数</t>
  </si>
  <si>
    <t>国内续费学员数</t>
  </si>
  <si>
    <t>国内结课续费率</t>
  </si>
  <si>
    <t>海外结课学员数</t>
  </si>
  <si>
    <t>海外续费学员数</t>
  </si>
  <si>
    <t>海外结课续费率</t>
  </si>
  <si>
    <t>历史学区</t>
  </si>
  <si>
    <t>无往不利组</t>
  </si>
  <si>
    <t>七七老师</t>
  </si>
  <si>
    <t>Lena</t>
  </si>
  <si>
    <t>粉蒸肉</t>
  </si>
  <si>
    <t>米粒儿</t>
  </si>
  <si>
    <t>Crystal</t>
  </si>
  <si>
    <t>一羊</t>
  </si>
  <si>
    <t>小不点</t>
  </si>
  <si>
    <t>小怪兽</t>
  </si>
  <si>
    <t>Jassie</t>
  </si>
  <si>
    <t>依一老师</t>
  </si>
  <si>
    <t>Dobby</t>
  </si>
  <si>
    <t>蜜桔</t>
  </si>
  <si>
    <t>奥乐</t>
  </si>
  <si>
    <t>糖樱</t>
  </si>
  <si>
    <t>子初</t>
  </si>
  <si>
    <t>不饱</t>
  </si>
  <si>
    <t>晓黛</t>
  </si>
  <si>
    <t>十拿九稳组</t>
  </si>
  <si>
    <t>绾婠</t>
  </si>
  <si>
    <t>西曦</t>
  </si>
  <si>
    <t>梓夏</t>
  </si>
  <si>
    <t>木柯</t>
  </si>
  <si>
    <t>汁汁</t>
  </si>
  <si>
    <t>小艾米</t>
  </si>
  <si>
    <t>雨朵</t>
  </si>
  <si>
    <t>萄萄</t>
  </si>
  <si>
    <t>佟佟</t>
  </si>
  <si>
    <t>仟仟</t>
  </si>
  <si>
    <t>果赖</t>
  </si>
  <si>
    <t>草莓子</t>
  </si>
  <si>
    <t>诗欣</t>
  </si>
  <si>
    <t>密果</t>
  </si>
  <si>
    <t>仙女</t>
  </si>
  <si>
    <t>木恩</t>
  </si>
  <si>
    <t>小蕊</t>
  </si>
  <si>
    <t>九稳百顺组</t>
  </si>
  <si>
    <t>瑞瑞老师</t>
  </si>
  <si>
    <t>布灵</t>
  </si>
  <si>
    <t>海岸</t>
  </si>
  <si>
    <t>Ronnie</t>
  </si>
  <si>
    <t>小璐老师</t>
  </si>
  <si>
    <t>可然</t>
  </si>
  <si>
    <t>月悦</t>
  </si>
  <si>
    <t>阿了</t>
  </si>
  <si>
    <t>胖酊</t>
  </si>
  <si>
    <t>新忻</t>
  </si>
  <si>
    <t>塞西</t>
  </si>
  <si>
    <t>丝芙</t>
  </si>
  <si>
    <t>柠小檬</t>
  </si>
  <si>
    <t>格菲</t>
  </si>
  <si>
    <t>光头强</t>
  </si>
  <si>
    <t>饭团</t>
  </si>
  <si>
    <t>湫湫</t>
  </si>
  <si>
    <t>予木</t>
  </si>
  <si>
    <t>爱新</t>
  </si>
  <si>
    <t>PuDing</t>
  </si>
  <si>
    <t>贝梖</t>
  </si>
  <si>
    <t>乐福</t>
  </si>
  <si>
    <t>鲁鲁</t>
  </si>
  <si>
    <t>姝姝</t>
  </si>
  <si>
    <t>颜料</t>
  </si>
  <si>
    <t>小皮皮</t>
  </si>
  <si>
    <t>一霏</t>
  </si>
  <si>
    <t>一味</t>
  </si>
  <si>
    <t>寅莹</t>
  </si>
  <si>
    <t>鱿鱼</t>
  </si>
  <si>
    <t>银河</t>
  </si>
  <si>
    <t>阿桃</t>
  </si>
  <si>
    <t>木慕</t>
  </si>
  <si>
    <t>绿绿</t>
  </si>
  <si>
    <t>果柚</t>
  </si>
  <si>
    <t>耳朵</t>
  </si>
  <si>
    <t>木下</t>
  </si>
  <si>
    <t>Aries</t>
  </si>
  <si>
    <t>心语</t>
  </si>
  <si>
    <t>鸡翅</t>
  </si>
  <si>
    <t>Fendi</t>
  </si>
  <si>
    <t>熠熠</t>
  </si>
  <si>
    <t>脆脆鲨</t>
  </si>
  <si>
    <t>福神</t>
  </si>
  <si>
    <t>南楠</t>
  </si>
  <si>
    <t>杳杳</t>
  </si>
  <si>
    <t>飞鸟</t>
  </si>
  <si>
    <t>可哆</t>
  </si>
  <si>
    <t>芊禧</t>
  </si>
  <si>
    <t>小Yummy</t>
  </si>
  <si>
    <t>桃酱</t>
  </si>
  <si>
    <t>小只</t>
  </si>
  <si>
    <t>糖包</t>
  </si>
  <si>
    <t>蹬蹬</t>
  </si>
  <si>
    <t>大豆子</t>
  </si>
  <si>
    <t>夏一</t>
  </si>
  <si>
    <t>大樱桃</t>
  </si>
  <si>
    <t>湳汐</t>
  </si>
  <si>
    <t>大可乐</t>
  </si>
  <si>
    <t>啊啾</t>
  </si>
  <si>
    <t>阿畅</t>
  </si>
  <si>
    <t>小树莓</t>
  </si>
  <si>
    <t>墩墩</t>
  </si>
  <si>
    <t>梅玲</t>
  </si>
  <si>
    <t>Icey</t>
  </si>
  <si>
    <t>大饼干</t>
  </si>
  <si>
    <t>米奇</t>
  </si>
  <si>
    <t>发儿</t>
  </si>
  <si>
    <t>萌欣</t>
  </si>
  <si>
    <t>小呗</t>
  </si>
  <si>
    <t>大猫咪</t>
  </si>
  <si>
    <t>呈呈</t>
  </si>
  <si>
    <t>苒苒</t>
  </si>
  <si>
    <t>晓雨</t>
  </si>
  <si>
    <t>啊月</t>
  </si>
  <si>
    <t>芹菜</t>
  </si>
  <si>
    <t>哆米</t>
  </si>
  <si>
    <t>满心</t>
  </si>
  <si>
    <t>大朵</t>
  </si>
  <si>
    <t>四乐</t>
  </si>
  <si>
    <t>小蛋黄</t>
  </si>
  <si>
    <t>党党</t>
  </si>
  <si>
    <t>拐拐</t>
  </si>
  <si>
    <t>安笙</t>
  </si>
  <si>
    <t>星兜</t>
  </si>
  <si>
    <t>猫酱</t>
  </si>
  <si>
    <t>小淘</t>
  </si>
  <si>
    <t>陶子</t>
  </si>
  <si>
    <t>六6</t>
  </si>
  <si>
    <t>小卷毛</t>
  </si>
  <si>
    <t>雷雷</t>
  </si>
  <si>
    <t>羽绒</t>
  </si>
  <si>
    <t>吉雅</t>
  </si>
  <si>
    <t>彩豆</t>
  </si>
  <si>
    <t>小甜筒</t>
  </si>
  <si>
    <t>Raine</t>
  </si>
  <si>
    <t>小肉球</t>
  </si>
  <si>
    <t>鱼米</t>
  </si>
  <si>
    <t>蓝珊</t>
  </si>
  <si>
    <t>秀宝</t>
  </si>
  <si>
    <t>如七</t>
  </si>
  <si>
    <t>宁芙</t>
  </si>
  <si>
    <t>蛋黄酥</t>
  </si>
  <si>
    <t>闪耀星光组</t>
  </si>
  <si>
    <t>Freda</t>
  </si>
  <si>
    <t>知夏</t>
  </si>
  <si>
    <t>zizi</t>
  </si>
  <si>
    <t>小时</t>
  </si>
  <si>
    <t>太米</t>
  </si>
  <si>
    <t>Googoo</t>
  </si>
  <si>
    <t>安竹</t>
  </si>
  <si>
    <t>多喜</t>
  </si>
  <si>
    <t>阿茹</t>
  </si>
  <si>
    <t>DQ</t>
  </si>
  <si>
    <t>淘7</t>
  </si>
  <si>
    <t>山槐槐</t>
  </si>
  <si>
    <t>露晨</t>
  </si>
  <si>
    <t>娜娜子</t>
  </si>
  <si>
    <t>晴天老师</t>
  </si>
  <si>
    <t>爱神</t>
  </si>
  <si>
    <t>小车</t>
  </si>
  <si>
    <t>半橙</t>
  </si>
  <si>
    <t>童言</t>
  </si>
  <si>
    <t>乙诺</t>
  </si>
  <si>
    <t>啊转</t>
  </si>
  <si>
    <t>阿楠</t>
  </si>
  <si>
    <t>粟米</t>
  </si>
  <si>
    <t>西柠</t>
  </si>
  <si>
    <t>大眼睛</t>
  </si>
  <si>
    <t>兔几</t>
  </si>
  <si>
    <t>遥愈</t>
  </si>
  <si>
    <t>Danna</t>
  </si>
  <si>
    <t>爱可</t>
  </si>
  <si>
    <t>子璇</t>
  </si>
  <si>
    <t>小茸</t>
  </si>
  <si>
    <t>果穗</t>
  </si>
  <si>
    <t>菜头</t>
  </si>
  <si>
    <t>藤子</t>
  </si>
  <si>
    <t>雪见</t>
  </si>
  <si>
    <t>菠菜</t>
  </si>
  <si>
    <t>飞天小女警组</t>
  </si>
  <si>
    <t>九七</t>
  </si>
  <si>
    <t>葱葱</t>
  </si>
  <si>
    <t>Lili</t>
  </si>
  <si>
    <t>花仙</t>
  </si>
  <si>
    <t>婷子</t>
  </si>
  <si>
    <t>小夏</t>
  </si>
  <si>
    <t>库洛</t>
  </si>
  <si>
    <t>顿顿</t>
  </si>
  <si>
    <t>大珺</t>
  </si>
  <si>
    <t>阿果</t>
  </si>
  <si>
    <t>南城</t>
  </si>
  <si>
    <t>红桃</t>
  </si>
  <si>
    <t>棵棵</t>
  </si>
  <si>
    <t>小圆</t>
  </si>
  <si>
    <t>小琴</t>
  </si>
  <si>
    <t>葡萄</t>
  </si>
  <si>
    <t>野兔</t>
  </si>
  <si>
    <t>钩钩</t>
  </si>
  <si>
    <t>鱼苗</t>
  </si>
  <si>
    <t>蔚蓝</t>
  </si>
  <si>
    <t>Sophia</t>
  </si>
  <si>
    <t>凯莉</t>
  </si>
  <si>
    <t>米白</t>
  </si>
  <si>
    <t>香橙</t>
  </si>
  <si>
    <t>妙笙</t>
  </si>
  <si>
    <t>小春</t>
  </si>
  <si>
    <t>玉兔</t>
  </si>
  <si>
    <t>苏菲</t>
  </si>
  <si>
    <t>小狮子</t>
  </si>
  <si>
    <t>迪迦</t>
  </si>
  <si>
    <t>大雪</t>
  </si>
  <si>
    <t>比耶</t>
  </si>
  <si>
    <t>格子</t>
  </si>
  <si>
    <t>安折</t>
  </si>
  <si>
    <t>梅梅</t>
  </si>
  <si>
    <t>景祺</t>
  </si>
  <si>
    <t>粥几</t>
  </si>
  <si>
    <t>众望攸归组</t>
  </si>
  <si>
    <t>知予</t>
  </si>
  <si>
    <t>小河</t>
  </si>
  <si>
    <t>班迪</t>
  </si>
  <si>
    <t>Kaze</t>
  </si>
  <si>
    <t>米雪</t>
  </si>
  <si>
    <t>欧泡</t>
  </si>
  <si>
    <t>北星</t>
  </si>
  <si>
    <t>夏奈</t>
  </si>
  <si>
    <t>倩莹</t>
  </si>
  <si>
    <t>小可乐</t>
  </si>
  <si>
    <t>Alaia</t>
  </si>
  <si>
    <t>花菜</t>
  </si>
  <si>
    <t>Riley</t>
  </si>
  <si>
    <t>晚星</t>
  </si>
  <si>
    <t>月牙儿</t>
  </si>
  <si>
    <t>乐希</t>
  </si>
  <si>
    <t>一葵</t>
  </si>
  <si>
    <t>知之</t>
  </si>
  <si>
    <t>汍子</t>
  </si>
  <si>
    <t>小选</t>
  </si>
  <si>
    <t>奶球</t>
  </si>
  <si>
    <t>鱼九</t>
  </si>
  <si>
    <t>胡桃夹子</t>
  </si>
  <si>
    <t>城城</t>
  </si>
  <si>
    <t>唐米</t>
  </si>
  <si>
    <t>猫喵</t>
  </si>
  <si>
    <t>玻玻</t>
  </si>
  <si>
    <t>甜果</t>
  </si>
  <si>
    <t>西兰花</t>
  </si>
  <si>
    <t>睛睛</t>
  </si>
  <si>
    <t>蓝豆豆</t>
  </si>
  <si>
    <t>乐乐芙</t>
  </si>
  <si>
    <t>莎莉</t>
  </si>
  <si>
    <t>沝沝</t>
  </si>
  <si>
    <t>小肥羊</t>
  </si>
  <si>
    <t>萤火</t>
  </si>
  <si>
    <t>小椛</t>
  </si>
  <si>
    <t>森迪</t>
  </si>
  <si>
    <t>飞龙</t>
  </si>
  <si>
    <t>晨辰</t>
  </si>
  <si>
    <t>柠七</t>
  </si>
  <si>
    <t>夏天老师</t>
  </si>
</sst>
</file>

<file path=xl/styles.xml><?xml version="1.0" encoding="utf-8"?>
<styleSheet xmlns="http://schemas.openxmlformats.org/spreadsheetml/2006/main">
  <numFmts count="11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/m/d;@"/>
    <numFmt numFmtId="177" formatCode="yyyy\-mm\-dd\ hh:mm:ss"/>
    <numFmt numFmtId="178" formatCode="yyyy/m/d\ h:mm:ss"/>
    <numFmt numFmtId="179" formatCode="yyyy\-mm\-dd"/>
    <numFmt numFmtId="180" formatCode="yyyy&quot;年&quot;m&quot;月&quot;;@"/>
    <numFmt numFmtId="181" formatCode="0.0%"/>
    <numFmt numFmtId="182" formatCode="0.00_ "/>
  </numFmts>
  <fonts count="4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0"/>
      <color indexed="8"/>
      <name val="微软雅黑"/>
      <charset val="134"/>
    </font>
    <font>
      <sz val="9"/>
      <color rgb="FF000000"/>
      <name val="微软雅黑"/>
      <charset val="134"/>
    </font>
    <font>
      <sz val="9"/>
      <color theme="1"/>
      <name val="微软雅黑"/>
      <charset val="134"/>
    </font>
    <font>
      <b/>
      <sz val="9"/>
      <color rgb="FFFFFFFF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b/>
      <sz val="9"/>
      <color theme="5" tint="-0.25"/>
      <name val="微软雅黑"/>
      <charset val="134"/>
    </font>
    <font>
      <b/>
      <sz val="9"/>
      <color rgb="FFC00000"/>
      <name val="微软雅黑"/>
      <charset val="134"/>
    </font>
    <font>
      <b/>
      <sz val="9"/>
      <color theme="8" tint="-0.25"/>
      <name val="微软雅黑"/>
      <charset val="134"/>
    </font>
    <font>
      <b/>
      <sz val="9"/>
      <color rgb="FF000000"/>
      <name val="微软雅黑"/>
      <charset val="134"/>
    </font>
    <font>
      <b/>
      <sz val="9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11"/>
      <color indexed="8"/>
      <name val="宋体"/>
      <charset val="134"/>
      <scheme val="minor"/>
    </font>
    <font>
      <sz val="8"/>
      <name val="微软雅黑"/>
      <charset val="134"/>
    </font>
    <font>
      <sz val="12"/>
      <name val="宋体"/>
      <charset val="134"/>
      <scheme val="minor"/>
    </font>
    <font>
      <b/>
      <sz val="8"/>
      <name val="微软雅黑"/>
      <charset val="134"/>
    </font>
    <font>
      <sz val="8"/>
      <color theme="1"/>
      <name val="微软雅黑"/>
      <charset val="134"/>
    </font>
    <font>
      <sz val="10"/>
      <color theme="9" tint="-0.25"/>
      <name val="微软雅黑"/>
      <charset val="134"/>
    </font>
    <font>
      <b/>
      <sz val="10"/>
      <color rgb="FFC00000"/>
      <name val="微软雅黑"/>
      <charset val="134"/>
    </font>
    <font>
      <b/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b/>
      <sz val="10"/>
      <color theme="9" tint="-0.5"/>
      <name val="微软雅黑"/>
      <charset val="134"/>
    </font>
    <font>
      <b/>
      <sz val="10"/>
      <name val="微软雅黑"/>
      <charset val="134"/>
    </font>
    <font>
      <sz val="10"/>
      <color theme="1" tint="0.35"/>
      <name val="微软雅黑"/>
      <charset val="134"/>
    </font>
    <font>
      <b/>
      <sz val="10"/>
      <color theme="1" tint="0.35"/>
      <name val="微软雅黑"/>
      <charset val="134"/>
    </font>
    <font>
      <b/>
      <sz val="10"/>
      <color rgb="FF00B050"/>
      <name val="微软雅黑"/>
      <charset val="134"/>
    </font>
    <font>
      <sz val="10"/>
      <name val="微软雅黑"/>
      <charset val="134"/>
    </font>
    <font>
      <sz val="11"/>
      <color rgb="FFFA7D00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006100"/>
      <name val="宋体"/>
      <charset val="134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3076B6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ED7D33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0A9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0010261536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00026416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42" fontId="0" fillId="0" borderId="0" applyFont="0" applyFill="0" applyBorder="0" applyProtection="0"/>
    <xf numFmtId="0" fontId="0" fillId="20" borderId="0" applyNumberFormat="0" applyBorder="0" applyProtection="0"/>
    <xf numFmtId="0" fontId="36" fillId="17" borderId="12" applyNumberFormat="0" applyProtection="0"/>
    <xf numFmtId="44" fontId="0" fillId="0" borderId="0" applyFont="0" applyFill="0" applyBorder="0" applyProtection="0"/>
    <xf numFmtId="41" fontId="0" fillId="0" borderId="0" applyFont="0" applyFill="0" applyBorder="0" applyProtection="0"/>
    <xf numFmtId="0" fontId="0" fillId="24" borderId="0" applyNumberFormat="0" applyBorder="0" applyProtection="0"/>
    <xf numFmtId="0" fontId="41" fillId="21" borderId="0" applyNumberFormat="0" applyBorder="0" applyProtection="0"/>
    <xf numFmtId="43" fontId="0" fillId="0" borderId="0" applyFont="0" applyFill="0" applyBorder="0" applyProtection="0"/>
    <xf numFmtId="0" fontId="40" fillId="27" borderId="0" applyNumberFormat="0" applyBorder="0" applyProtection="0"/>
    <xf numFmtId="0" fontId="42" fillId="0" borderId="0" applyNumberFormat="0" applyFill="0" applyBorder="0" applyProtection="0"/>
    <xf numFmtId="9" fontId="0" fillId="0" borderId="0" applyFont="0" applyFill="0" applyBorder="0" applyProtection="0"/>
    <xf numFmtId="0" fontId="44" fillId="0" borderId="0" applyNumberFormat="0" applyFill="0" applyBorder="0" applyProtection="0"/>
    <xf numFmtId="0" fontId="0" fillId="28" borderId="15" applyNumberFormat="0" applyFont="0" applyProtection="0"/>
    <xf numFmtId="0" fontId="40" fillId="19" borderId="0" applyNumberFormat="0" applyBorder="0" applyProtection="0"/>
    <xf numFmtId="0" fontId="35" fillId="0" borderId="0" applyNumberFormat="0" applyFill="0" applyBorder="0" applyProtection="0"/>
    <xf numFmtId="0" fontId="46" fillId="0" borderId="0" applyNumberFormat="0" applyFill="0" applyBorder="0" applyProtection="0"/>
    <xf numFmtId="0" fontId="38" fillId="0" borderId="0" applyNumberFormat="0" applyFill="0" applyBorder="0" applyProtection="0"/>
    <xf numFmtId="0" fontId="39" fillId="0" borderId="0" applyNumberFormat="0" applyFill="0" applyBorder="0" applyProtection="0"/>
    <xf numFmtId="0" fontId="34" fillId="0" borderId="10" applyNumberFormat="0" applyFill="0" applyProtection="0"/>
    <xf numFmtId="0" fontId="32" fillId="0" borderId="10" applyNumberFormat="0" applyFill="0" applyProtection="0"/>
    <xf numFmtId="0" fontId="40" fillId="32" borderId="0" applyNumberFormat="0" applyBorder="0" applyProtection="0"/>
    <xf numFmtId="0" fontId="35" fillId="0" borderId="14" applyNumberFormat="0" applyFill="0" applyProtection="0"/>
    <xf numFmtId="0" fontId="40" fillId="35" borderId="0" applyNumberFormat="0" applyBorder="0" applyProtection="0"/>
    <xf numFmtId="0" fontId="45" fillId="29" borderId="16" applyNumberFormat="0" applyProtection="0"/>
    <xf numFmtId="0" fontId="43" fillId="29" borderId="12" applyNumberFormat="0" applyProtection="0"/>
    <xf numFmtId="0" fontId="37" fillId="18" borderId="13" applyNumberFormat="0" applyProtection="0"/>
    <xf numFmtId="0" fontId="0" fillId="37" borderId="0" applyNumberFormat="0" applyBorder="0" applyProtection="0"/>
    <xf numFmtId="0" fontId="40" fillId="31" borderId="0" applyNumberFormat="0" applyBorder="0" applyProtection="0"/>
    <xf numFmtId="0" fontId="31" fillId="0" borderId="9" applyNumberFormat="0" applyFill="0" applyProtection="0"/>
    <xf numFmtId="0" fontId="33" fillId="0" borderId="11" applyNumberFormat="0" applyFill="0" applyProtection="0"/>
    <xf numFmtId="0" fontId="48" fillId="40" borderId="0" applyNumberFormat="0" applyBorder="0" applyProtection="0"/>
    <xf numFmtId="0" fontId="47" fillId="39" borderId="0" applyNumberFormat="0" applyBorder="0" applyProtection="0"/>
    <xf numFmtId="0" fontId="0" fillId="43" borderId="0" applyNumberFormat="0" applyBorder="0" applyProtection="0"/>
    <xf numFmtId="0" fontId="40" fillId="46" borderId="0" applyNumberFormat="0" applyBorder="0" applyProtection="0"/>
    <xf numFmtId="0" fontId="0" fillId="26" borderId="0" applyNumberFormat="0" applyBorder="0" applyProtection="0"/>
    <xf numFmtId="0" fontId="0" fillId="25" borderId="0" applyNumberFormat="0" applyBorder="0" applyProtection="0"/>
    <xf numFmtId="0" fontId="0" fillId="34" borderId="0" applyNumberFormat="0" applyBorder="0" applyProtection="0"/>
    <xf numFmtId="0" fontId="0" fillId="42" borderId="0" applyNumberFormat="0" applyBorder="0" applyProtection="0"/>
    <xf numFmtId="0" fontId="40" fillId="45" borderId="0" applyNumberFormat="0" applyBorder="0" applyProtection="0"/>
    <xf numFmtId="0" fontId="40" fillId="41" borderId="0" applyNumberFormat="0" applyBorder="0" applyProtection="0"/>
    <xf numFmtId="0" fontId="0" fillId="38" borderId="0" applyNumberFormat="0" applyBorder="0" applyProtection="0"/>
    <xf numFmtId="0" fontId="0" fillId="23" borderId="0" applyNumberFormat="0" applyBorder="0" applyProtection="0"/>
    <xf numFmtId="0" fontId="40" fillId="22" borderId="0" applyNumberFormat="0" applyBorder="0" applyProtection="0"/>
    <xf numFmtId="0" fontId="0" fillId="30" borderId="0" applyNumberFormat="0" applyBorder="0" applyProtection="0"/>
    <xf numFmtId="0" fontId="40" fillId="44" borderId="0" applyNumberFormat="0" applyBorder="0" applyProtection="0"/>
    <xf numFmtId="0" fontId="40" fillId="33" borderId="0" applyNumberFormat="0" applyBorder="0" applyProtection="0"/>
    <xf numFmtId="0" fontId="0" fillId="47" borderId="0" applyNumberFormat="0" applyBorder="0" applyProtection="0"/>
    <xf numFmtId="0" fontId="40" fillId="36" borderId="0" applyNumberFormat="0" applyBorder="0" applyProtection="0"/>
    <xf numFmtId="0" fontId="16" fillId="0" borderId="0">
      <alignment vertical="center"/>
    </xf>
  </cellStyleXfs>
  <cellXfs count="142">
    <xf numFmtId="0" fontId="0" fillId="0" borderId="0" xfId="0"/>
    <xf numFmtId="0" fontId="1" fillId="0" borderId="0" xfId="0" applyFont="1" applyFill="1" applyAlignment="1">
      <alignment horizontal="left"/>
    </xf>
    <xf numFmtId="176" fontId="1" fillId="0" borderId="0" xfId="0" applyNumberFormat="1" applyFont="1" applyFill="1" applyAlignment="1">
      <alignment horizontal="left"/>
    </xf>
    <xf numFmtId="0" fontId="1" fillId="0" borderId="0" xfId="0" applyFont="1" applyFill="1" applyAlignment="1"/>
    <xf numFmtId="10" fontId="1" fillId="0" borderId="0" xfId="11" applyNumberFormat="1" applyFont="1"/>
    <xf numFmtId="0" fontId="2" fillId="0" borderId="0" xfId="0" applyFont="1" applyFill="1" applyAlignment="1">
      <alignment horizontal="left"/>
    </xf>
    <xf numFmtId="176" fontId="2" fillId="0" borderId="0" xfId="0" applyNumberFormat="1" applyFont="1" applyFill="1" applyAlignment="1">
      <alignment horizontal="left"/>
    </xf>
    <xf numFmtId="0" fontId="2" fillId="0" borderId="0" xfId="0" applyFont="1" applyFill="1" applyAlignment="1"/>
    <xf numFmtId="10" fontId="2" fillId="0" borderId="0" xfId="11" applyNumberFormat="1" applyFont="1"/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177" fontId="3" fillId="0" borderId="1" xfId="0" applyNumberFormat="1" applyFont="1" applyFill="1" applyBorder="1" applyAlignment="1">
      <alignment horizont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6" fillId="2" borderId="2" xfId="0" applyFont="1" applyFill="1" applyBorder="1" applyAlignment="1" applyProtection="1">
      <alignment horizontal="center" vertical="center" wrapText="1"/>
    </xf>
    <xf numFmtId="0" fontId="7" fillId="0" borderId="3" xfId="0" applyFont="1" applyFill="1" applyBorder="1" applyAlignment="1" applyProtection="1">
      <alignment horizontal="center" vertical="center"/>
    </xf>
    <xf numFmtId="178" fontId="7" fillId="0" borderId="3" xfId="0" applyNumberFormat="1" applyFont="1" applyFill="1" applyBorder="1" applyAlignment="1" applyProtection="1">
      <alignment horizontal="center" vertical="center"/>
    </xf>
    <xf numFmtId="0" fontId="7" fillId="0" borderId="2" xfId="0" applyFont="1" applyFill="1" applyBorder="1" applyAlignment="1" applyProtection="1">
      <alignment horizontal="center" vertical="center"/>
    </xf>
    <xf numFmtId="178" fontId="7" fillId="0" borderId="2" xfId="0" applyNumberFormat="1" applyFont="1" applyFill="1" applyBorder="1" applyAlignment="1" applyProtection="1">
      <alignment horizontal="center" vertical="center"/>
    </xf>
    <xf numFmtId="0" fontId="7" fillId="0" borderId="2" xfId="0" applyFont="1" applyFill="1" applyBorder="1" applyAlignment="1" applyProtection="1">
      <alignment horizontal="center" vertical="center" wrapText="1"/>
    </xf>
    <xf numFmtId="0" fontId="8" fillId="3" borderId="2" xfId="0" applyFont="1" applyFill="1" applyBorder="1" applyAlignment="1" applyProtection="1">
      <alignment horizontal="center" vertical="center" wrapText="1"/>
    </xf>
    <xf numFmtId="0" fontId="6" fillId="4" borderId="2" xfId="0" applyFont="1" applyFill="1" applyBorder="1" applyAlignment="1" applyProtection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 applyProtection="1">
      <alignment horizontal="left" vertical="center" wrapText="1"/>
    </xf>
    <xf numFmtId="0" fontId="4" fillId="0" borderId="2" xfId="0" applyFont="1" applyFill="1" applyBorder="1" applyAlignment="1" applyProtection="1">
      <alignment horizontal="left" vertical="center" wrapText="1"/>
    </xf>
    <xf numFmtId="0" fontId="7" fillId="0" borderId="2" xfId="0" applyFont="1" applyFill="1" applyBorder="1" applyAlignment="1" applyProtection="1">
      <alignment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 applyProtection="1">
      <alignment horizontal="center" vertical="center" wrapText="1"/>
    </xf>
    <xf numFmtId="0" fontId="13" fillId="0" borderId="2" xfId="0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vertical="center"/>
    </xf>
    <xf numFmtId="0" fontId="12" fillId="0" borderId="2" xfId="0" applyFont="1" applyFill="1" applyBorder="1" applyAlignment="1" applyProtection="1">
      <alignment horizontal="left" vertical="center" wrapText="1"/>
    </xf>
    <xf numFmtId="0" fontId="10" fillId="0" borderId="2" xfId="0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4" fillId="0" borderId="2" xfId="0" applyFont="1" applyFill="1" applyBorder="1" applyAlignment="1" applyProtection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 vertical="center"/>
    </xf>
    <xf numFmtId="0" fontId="14" fillId="0" borderId="3" xfId="0" applyFont="1" applyFill="1" applyBorder="1" applyAlignment="1" applyProtection="1">
      <alignment horizontal="center" vertical="center"/>
    </xf>
    <xf numFmtId="0" fontId="16" fillId="0" borderId="1" xfId="0" applyFont="1" applyFill="1" applyBorder="1" applyAlignment="1">
      <alignment horizontal="right"/>
    </xf>
    <xf numFmtId="0" fontId="16" fillId="0" borderId="1" xfId="0" applyFont="1" applyFill="1" applyBorder="1" applyAlignment="1">
      <alignment vertical="center"/>
    </xf>
    <xf numFmtId="177" fontId="16" fillId="0" borderId="1" xfId="0" applyNumberFormat="1" applyFont="1" applyFill="1" applyBorder="1" applyAlignment="1"/>
    <xf numFmtId="179" fontId="16" fillId="0" borderId="1" xfId="0" applyNumberFormat="1" applyFont="1" applyFill="1" applyBorder="1" applyAlignment="1"/>
    <xf numFmtId="0" fontId="14" fillId="0" borderId="3" xfId="0" applyFont="1" applyFill="1" applyBorder="1" applyAlignment="1" applyProtection="1">
      <alignment horizontal="center" vertical="center" wrapText="1"/>
    </xf>
    <xf numFmtId="0" fontId="14" fillId="6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left" vertical="center"/>
    </xf>
    <xf numFmtId="0" fontId="17" fillId="8" borderId="0" xfId="0" applyFont="1" applyFill="1" applyAlignment="1">
      <alignment horizontal="left" vertical="center" wrapText="1"/>
    </xf>
    <xf numFmtId="0" fontId="18" fillId="0" borderId="0" xfId="0" applyFont="1" applyFill="1" applyAlignment="1">
      <alignment vertical="center"/>
    </xf>
    <xf numFmtId="0" fontId="19" fillId="9" borderId="3" xfId="0" applyFont="1" applyFill="1" applyBorder="1" applyAlignment="1" applyProtection="1">
      <alignment horizontal="center" vertical="center" wrapText="1"/>
    </xf>
    <xf numFmtId="0" fontId="19" fillId="9" borderId="3" xfId="0" applyFont="1" applyFill="1" applyBorder="1" applyAlignment="1" applyProtection="1">
      <alignment horizontal="left" vertical="center" wrapText="1"/>
    </xf>
    <xf numFmtId="0" fontId="20" fillId="10" borderId="4" xfId="0" applyFont="1" applyFill="1" applyBorder="1" applyAlignment="1">
      <alignment horizontal="center" vertical="center"/>
    </xf>
    <xf numFmtId="0" fontId="20" fillId="10" borderId="4" xfId="0" applyFont="1" applyFill="1" applyBorder="1" applyAlignment="1" applyProtection="1">
      <alignment horizontal="center" vertical="center"/>
    </xf>
    <xf numFmtId="14" fontId="20" fillId="10" borderId="4" xfId="0" applyNumberFormat="1" applyFont="1" applyFill="1" applyBorder="1" applyAlignment="1">
      <alignment horizontal="center" vertical="center"/>
    </xf>
    <xf numFmtId="0" fontId="19" fillId="9" borderId="3" xfId="0" applyFont="1" applyFill="1" applyBorder="1" applyAlignment="1" applyProtection="1">
      <alignment horizontal="center" vertical="center"/>
    </xf>
    <xf numFmtId="180" fontId="20" fillId="10" borderId="4" xfId="0" applyNumberFormat="1" applyFont="1" applyFill="1" applyBorder="1" applyAlignment="1">
      <alignment horizontal="center" vertical="center"/>
    </xf>
    <xf numFmtId="0" fontId="20" fillId="10" borderId="4" xfId="0" applyFont="1" applyFill="1" applyBorder="1" applyAlignment="1">
      <alignment horizontal="left" vertical="center" wrapText="1"/>
    </xf>
    <xf numFmtId="0" fontId="20" fillId="10" borderId="4" xfId="0" applyFont="1" applyFill="1" applyBorder="1" applyAlignment="1">
      <alignment horizontal="center" vertical="center" wrapText="1"/>
    </xf>
    <xf numFmtId="0" fontId="15" fillId="11" borderId="0" xfId="0" applyFont="1" applyFill="1" applyAlignment="1">
      <alignment horizontal="center" vertical="center"/>
    </xf>
    <xf numFmtId="0" fontId="15" fillId="11" borderId="0" xfId="0" applyFont="1" applyFill="1" applyAlignment="1">
      <alignment horizontal="center"/>
    </xf>
    <xf numFmtId="10" fontId="15" fillId="12" borderId="0" xfId="11" applyNumberFormat="1" applyFont="1" applyFill="1" applyAlignment="1">
      <alignment horizontal="center"/>
    </xf>
    <xf numFmtId="0" fontId="15" fillId="12" borderId="0" xfId="0" applyFont="1" applyFill="1" applyAlignment="1">
      <alignment horizontal="center"/>
    </xf>
    <xf numFmtId="0" fontId="15" fillId="12" borderId="0" xfId="0" applyFont="1" applyFill="1" applyAlignment="1">
      <alignment horizontal="center" vertical="center"/>
    </xf>
    <xf numFmtId="0" fontId="21" fillId="11" borderId="0" xfId="0" applyFont="1" applyFill="1" applyAlignment="1">
      <alignment horizontal="center"/>
    </xf>
    <xf numFmtId="0" fontId="15" fillId="0" borderId="0" xfId="11" applyNumberFormat="1" applyFont="1" applyFill="1" applyAlignment="1">
      <alignment horizontal="center" vertical="center"/>
    </xf>
    <xf numFmtId="0" fontId="15" fillId="0" borderId="0" xfId="0" applyNumberFormat="1" applyFont="1" applyFill="1" applyAlignment="1"/>
    <xf numFmtId="10" fontId="15" fillId="0" borderId="0" xfId="11" applyNumberFormat="1" applyFont="1" applyAlignment="1">
      <alignment horizontal="center"/>
    </xf>
    <xf numFmtId="0" fontId="15" fillId="0" borderId="0" xfId="0" applyNumberFormat="1" applyFont="1" applyFill="1" applyAlignment="1">
      <alignment horizontal="center"/>
    </xf>
    <xf numFmtId="180" fontId="15" fillId="0" borderId="0" xfId="0" applyNumberFormat="1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0" fontId="15" fillId="0" borderId="0" xfId="0" applyFont="1" applyFill="1" applyAlignment="1"/>
    <xf numFmtId="0" fontId="22" fillId="11" borderId="0" xfId="0" applyFont="1" applyFill="1" applyAlignment="1">
      <alignment horizontal="left" vertical="center" wrapText="1"/>
    </xf>
    <xf numFmtId="0" fontId="22" fillId="11" borderId="0" xfId="0" applyFont="1" applyFill="1" applyAlignment="1">
      <alignment horizontal="left" vertical="center"/>
    </xf>
    <xf numFmtId="0" fontId="23" fillId="11" borderId="2" xfId="0" applyFont="1" applyFill="1" applyBorder="1" applyAlignment="1">
      <alignment horizontal="center" vertical="center" wrapText="1"/>
    </xf>
    <xf numFmtId="10" fontId="23" fillId="12" borderId="2" xfId="11" applyNumberFormat="1" applyFont="1" applyFill="1" applyBorder="1" applyAlignment="1">
      <alignment horizontal="center" vertical="center" wrapText="1"/>
    </xf>
    <xf numFmtId="176" fontId="23" fillId="12" borderId="2" xfId="0" applyNumberFormat="1" applyFont="1" applyFill="1" applyBorder="1" applyAlignment="1">
      <alignment horizontal="center" vertical="center"/>
    </xf>
    <xf numFmtId="10" fontId="23" fillId="12" borderId="2" xfId="0" applyNumberFormat="1" applyFont="1" applyFill="1" applyBorder="1" applyAlignment="1" applyProtection="1">
      <alignment horizontal="center" vertical="center" wrapText="1"/>
    </xf>
    <xf numFmtId="10" fontId="22" fillId="13" borderId="2" xfId="11" applyNumberFormat="1" applyFont="1" applyFill="1" applyBorder="1" applyAlignment="1" applyProtection="1">
      <alignment horizontal="center" vertical="center" wrapText="1"/>
    </xf>
    <xf numFmtId="0" fontId="22" fillId="13" borderId="2" xfId="0" applyNumberFormat="1" applyFont="1" applyFill="1" applyBorder="1" applyAlignment="1" applyProtection="1">
      <alignment horizontal="center" vertical="center" wrapText="1"/>
    </xf>
    <xf numFmtId="0" fontId="22" fillId="11" borderId="0" xfId="0" applyNumberFormat="1" applyFont="1" applyFill="1" applyAlignment="1">
      <alignment horizontal="left" vertical="center"/>
    </xf>
    <xf numFmtId="180" fontId="22" fillId="13" borderId="2" xfId="0" applyNumberFormat="1" applyFont="1" applyFill="1" applyBorder="1" applyAlignment="1" applyProtection="1">
      <alignment horizontal="center" vertical="center" wrapText="1"/>
    </xf>
    <xf numFmtId="0" fontId="24" fillId="14" borderId="2" xfId="0" applyFont="1" applyFill="1" applyBorder="1" applyAlignment="1" applyProtection="1">
      <alignment horizontal="center" vertical="center" wrapText="1"/>
    </xf>
    <xf numFmtId="181" fontId="25" fillId="6" borderId="2" xfId="0" applyNumberFormat="1" applyFont="1" applyFill="1" applyBorder="1" applyAlignment="1" applyProtection="1">
      <alignment horizontal="center" vertical="center" wrapText="1"/>
    </xf>
    <xf numFmtId="181" fontId="22" fillId="6" borderId="2" xfId="0" applyNumberFormat="1" applyFont="1" applyFill="1" applyBorder="1" applyAlignment="1" applyProtection="1">
      <alignment horizontal="center" vertical="center" wrapText="1"/>
    </xf>
    <xf numFmtId="0" fontId="22" fillId="5" borderId="2" xfId="0" applyNumberFormat="1" applyFont="1" applyFill="1" applyBorder="1" applyAlignment="1" applyProtection="1">
      <alignment horizontal="center" vertical="center" wrapText="1"/>
    </xf>
    <xf numFmtId="0" fontId="25" fillId="5" borderId="2" xfId="11" applyNumberFormat="1" applyFont="1" applyFill="1" applyBorder="1" applyAlignment="1">
      <alignment horizontal="center" vertical="center" wrapText="1"/>
    </xf>
    <xf numFmtId="0" fontId="26" fillId="5" borderId="2" xfId="11" applyNumberFormat="1" applyFont="1" applyFill="1" applyBorder="1" applyAlignment="1">
      <alignment horizontal="center" vertical="center" wrapText="1"/>
    </xf>
    <xf numFmtId="181" fontId="22" fillId="5" borderId="2" xfId="0" applyNumberFormat="1" applyFont="1" applyFill="1" applyBorder="1" applyAlignment="1" applyProtection="1">
      <alignment horizontal="center" vertical="center"/>
    </xf>
    <xf numFmtId="0" fontId="15" fillId="0" borderId="0" xfId="0" applyFont="1" applyFill="1" applyAlignment="1">
      <alignment vertical="center"/>
    </xf>
    <xf numFmtId="0" fontId="27" fillId="0" borderId="0" xfId="0" applyFont="1" applyFill="1" applyAlignment="1">
      <alignment horizontal="center" vertical="center"/>
    </xf>
    <xf numFmtId="0" fontId="15" fillId="0" borderId="0" xfId="0" applyNumberFormat="1" applyFont="1" applyFill="1" applyAlignment="1">
      <alignment horizontal="center" vertical="center"/>
    </xf>
    <xf numFmtId="0" fontId="23" fillId="15" borderId="5" xfId="0" applyFont="1" applyFill="1" applyBorder="1" applyAlignment="1">
      <alignment horizontal="center" vertical="center"/>
    </xf>
    <xf numFmtId="0" fontId="23" fillId="15" borderId="6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28" fillId="0" borderId="0" xfId="0" applyFont="1" applyFill="1" applyBorder="1" applyAlignment="1">
      <alignment horizontal="center" vertical="center" wrapText="1"/>
    </xf>
    <xf numFmtId="176" fontId="27" fillId="0" borderId="0" xfId="0" applyNumberFormat="1" applyFont="1" applyFill="1" applyAlignment="1">
      <alignment horizontal="center" vertical="center"/>
    </xf>
    <xf numFmtId="0" fontId="23" fillId="15" borderId="7" xfId="0" applyFont="1" applyFill="1" applyBorder="1" applyAlignment="1">
      <alignment horizontal="center" vertical="center"/>
    </xf>
    <xf numFmtId="10" fontId="23" fillId="16" borderId="2" xfId="11" applyNumberFormat="1" applyFont="1" applyFill="1" applyBorder="1" applyAlignment="1">
      <alignment horizontal="center"/>
    </xf>
    <xf numFmtId="10" fontId="22" fillId="14" borderId="8" xfId="11" applyNumberFormat="1" applyFont="1" applyFill="1" applyBorder="1" applyAlignment="1" applyProtection="1">
      <alignment horizontal="center" vertical="center" wrapText="1"/>
    </xf>
    <xf numFmtId="0" fontId="22" fillId="14" borderId="8" xfId="0" applyNumberFormat="1" applyFont="1" applyFill="1" applyBorder="1" applyAlignment="1" applyProtection="1">
      <alignment horizontal="center" vertical="center" wrapText="1"/>
    </xf>
    <xf numFmtId="180" fontId="22" fillId="14" borderId="8" xfId="0" applyNumberFormat="1" applyFont="1" applyFill="1" applyBorder="1" applyAlignment="1" applyProtection="1">
      <alignment horizontal="center" vertical="center" wrapText="1"/>
    </xf>
    <xf numFmtId="0" fontId="22" fillId="14" borderId="8" xfId="0" applyFont="1" applyFill="1" applyBorder="1" applyAlignment="1" applyProtection="1">
      <alignment horizontal="center" vertical="center" wrapText="1"/>
    </xf>
    <xf numFmtId="181" fontId="25" fillId="6" borderId="8" xfId="0" applyNumberFormat="1" applyFont="1" applyFill="1" applyBorder="1" applyAlignment="1" applyProtection="1">
      <alignment horizontal="center" vertical="center" wrapText="1"/>
    </xf>
    <xf numFmtId="10" fontId="15" fillId="0" borderId="0" xfId="11" applyNumberFormat="1" applyFont="1" applyAlignment="1">
      <alignment horizontal="center" vertical="center"/>
    </xf>
    <xf numFmtId="10" fontId="15" fillId="12" borderId="0" xfId="11" applyNumberFormat="1" applyFont="1" applyFill="1" applyAlignment="1">
      <alignment horizontal="center" vertical="center"/>
    </xf>
    <xf numFmtId="0" fontId="15" fillId="0" borderId="0" xfId="11" applyNumberFormat="1" applyFont="1" applyAlignment="1">
      <alignment horizontal="center"/>
    </xf>
    <xf numFmtId="0" fontId="29" fillId="11" borderId="0" xfId="0" applyFont="1" applyFill="1" applyAlignment="1">
      <alignment horizontal="center"/>
    </xf>
    <xf numFmtId="0" fontId="22" fillId="11" borderId="0" xfId="0" applyNumberFormat="1" applyFont="1" applyFill="1" applyAlignment="1">
      <alignment horizontal="center" vertical="center"/>
    </xf>
    <xf numFmtId="10" fontId="23" fillId="16" borderId="2" xfId="11" applyNumberFormat="1" applyFont="1" applyFill="1" applyBorder="1" applyAlignment="1">
      <alignment horizontal="center" vertical="center"/>
    </xf>
    <xf numFmtId="181" fontId="22" fillId="6" borderId="8" xfId="0" applyNumberFormat="1" applyFont="1" applyFill="1" applyBorder="1" applyAlignment="1" applyProtection="1">
      <alignment horizontal="center" vertical="center" wrapText="1"/>
    </xf>
    <xf numFmtId="0" fontId="22" fillId="5" borderId="8" xfId="0" applyNumberFormat="1" applyFont="1" applyFill="1" applyBorder="1" applyAlignment="1" applyProtection="1">
      <alignment horizontal="center" vertical="center" wrapText="1"/>
    </xf>
    <xf numFmtId="0" fontId="25" fillId="5" borderId="8" xfId="11" applyNumberFormat="1" applyFont="1" applyFill="1" applyBorder="1" applyAlignment="1">
      <alignment horizontal="center" vertical="center" wrapText="1"/>
    </xf>
    <xf numFmtId="0" fontId="26" fillId="5" borderId="8" xfId="11" applyNumberFormat="1" applyFont="1" applyFill="1" applyBorder="1" applyAlignment="1">
      <alignment horizontal="center" vertical="center" wrapText="1"/>
    </xf>
    <xf numFmtId="181" fontId="24" fillId="5" borderId="8" xfId="0" applyNumberFormat="1" applyFont="1" applyFill="1" applyBorder="1" applyAlignment="1" applyProtection="1">
      <alignment horizontal="center" vertical="center"/>
    </xf>
    <xf numFmtId="0" fontId="26" fillId="6" borderId="0" xfId="0" applyFont="1" applyFill="1" applyAlignment="1">
      <alignment horizontal="center"/>
    </xf>
    <xf numFmtId="0" fontId="23" fillId="0" borderId="0" xfId="0" applyFont="1" applyFill="1" applyAlignment="1">
      <alignment horizontal="center"/>
    </xf>
    <xf numFmtId="0" fontId="22" fillId="6" borderId="0" xfId="0" applyFont="1" applyFill="1" applyAlignment="1">
      <alignment horizontal="center"/>
    </xf>
    <xf numFmtId="10" fontId="23" fillId="0" borderId="0" xfId="11" applyNumberFormat="1" applyFont="1" applyFill="1" applyAlignment="1">
      <alignment horizontal="center"/>
    </xf>
    <xf numFmtId="10" fontId="15" fillId="0" borderId="0" xfId="11" applyNumberFormat="1" applyFont="1" applyFill="1"/>
    <xf numFmtId="0" fontId="23" fillId="15" borderId="2" xfId="0" applyFont="1" applyFill="1" applyBorder="1" applyAlignment="1">
      <alignment horizontal="center" vertical="center"/>
    </xf>
    <xf numFmtId="0" fontId="23" fillId="11" borderId="8" xfId="0" applyFont="1" applyFill="1" applyBorder="1" applyAlignment="1">
      <alignment horizontal="center" vertical="center" wrapText="1"/>
    </xf>
    <xf numFmtId="0" fontId="23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left" vertical="center"/>
    </xf>
    <xf numFmtId="180" fontId="15" fillId="0" borderId="0" xfId="0" applyNumberFormat="1" applyFont="1" applyFill="1" applyAlignment="1">
      <alignment horizontal="center" vertical="center"/>
    </xf>
    <xf numFmtId="0" fontId="30" fillId="11" borderId="0" xfId="0" applyFont="1" applyFill="1" applyAlignment="1">
      <alignment horizontal="center" vertical="center"/>
    </xf>
    <xf numFmtId="10" fontId="23" fillId="0" borderId="8" xfId="11" applyNumberFormat="1" applyFont="1" applyFill="1" applyBorder="1" applyAlignment="1">
      <alignment horizontal="center" vertical="center" wrapText="1"/>
    </xf>
    <xf numFmtId="176" fontId="23" fillId="12" borderId="8" xfId="0" applyNumberFormat="1" applyFont="1" applyFill="1" applyBorder="1" applyAlignment="1">
      <alignment horizontal="center" vertical="center"/>
    </xf>
    <xf numFmtId="10" fontId="23" fillId="12" borderId="8" xfId="0" applyNumberFormat="1" applyFont="1" applyFill="1" applyBorder="1" applyAlignment="1" applyProtection="1">
      <alignment horizontal="center" vertical="center" wrapText="1"/>
    </xf>
    <xf numFmtId="10" fontId="23" fillId="0" borderId="0" xfId="11" applyNumberFormat="1" applyFont="1" applyFill="1" applyAlignment="1">
      <alignment horizontal="center" vertical="center"/>
    </xf>
    <xf numFmtId="10" fontId="23" fillId="12" borderId="0" xfId="11" applyNumberFormat="1" applyFont="1" applyFill="1" applyAlignment="1">
      <alignment horizontal="center" vertical="center"/>
    </xf>
    <xf numFmtId="0" fontId="25" fillId="11" borderId="0" xfId="0" applyFont="1" applyFill="1" applyAlignment="1">
      <alignment horizontal="center"/>
    </xf>
    <xf numFmtId="182" fontId="29" fillId="0" borderId="0" xfId="0" applyNumberFormat="1" applyFont="1" applyFill="1" applyAlignment="1">
      <alignment horizontal="center"/>
    </xf>
    <xf numFmtId="182" fontId="26" fillId="11" borderId="0" xfId="0" applyNumberFormat="1" applyFont="1" applyFill="1" applyAlignment="1">
      <alignment horizontal="center"/>
    </xf>
    <xf numFmtId="182" fontId="15" fillId="0" borderId="0" xfId="0" applyNumberFormat="1" applyFont="1" applyFill="1" applyAlignment="1">
      <alignment horizontal="center"/>
    </xf>
    <xf numFmtId="0" fontId="15" fillId="0" borderId="0" xfId="11" applyNumberFormat="1" applyFont="1" applyFill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3" xfId="49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6"/>
  <sheetViews>
    <sheetView tabSelected="1" zoomScale="85" zoomScaleNormal="85" topLeftCell="F1" workbookViewId="0">
      <selection activeCell="M30" sqref="M30"/>
    </sheetView>
  </sheetViews>
  <sheetFormatPr defaultColWidth="9.00925925925926" defaultRowHeight="15.6"/>
  <cols>
    <col min="1" max="1" width="12.1296296296296" style="96" hidden="1" customWidth="1"/>
    <col min="2" max="3" width="11.5" style="96" hidden="1" customWidth="1"/>
    <col min="4" max="4" width="11.25" style="96" hidden="1" customWidth="1"/>
    <col min="5" max="5" width="7.35185185185185" style="96" hidden="1" customWidth="1"/>
    <col min="6" max="6" width="12.787037037037" style="65" customWidth="1"/>
    <col min="7" max="8" width="9" style="76"/>
    <col min="9" max="9" width="9.12962962962963" style="124"/>
    <col min="10" max="10" width="11.5" style="68" customWidth="1"/>
    <col min="11" max="11" width="9.5" style="69" customWidth="1"/>
    <col min="12" max="12" width="7.12962962962963" style="73" customWidth="1"/>
    <col min="13" max="13" width="10.6296296296296" style="74" customWidth="1"/>
    <col min="14" max="14" width="7.12962962962963" style="75" customWidth="1"/>
    <col min="15" max="15" width="7.87962962962963" style="76" customWidth="1"/>
    <col min="16" max="16" width="14.8796296296296" style="70" customWidth="1"/>
    <col min="17" max="17" width="34.5" style="70" customWidth="1"/>
    <col min="18" max="18" width="7.78703703703704" style="76" customWidth="1"/>
    <col min="19" max="19" width="6.62962962962963" style="71" customWidth="1"/>
    <col min="20" max="20" width="8.08333333333333" style="71" customWidth="1"/>
    <col min="21" max="22" width="8.08333333333333" style="72" customWidth="1"/>
    <col min="23" max="23" width="31.6203703703704" style="97" customWidth="1"/>
    <col min="24" max="24" width="12.6296296296296" style="125"/>
    <col min="25" max="16359" width="9" style="77"/>
    <col min="16360" max="16384" width="9.00925925925926" style="77"/>
  </cols>
  <sheetData>
    <row r="1" ht="54" customHeight="1" spans="6:23">
      <c r="F1" s="78" t="s">
        <v>0</v>
      </c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</row>
    <row r="2" ht="23" hidden="1" customHeight="1" spans="6:22">
      <c r="F2" s="78"/>
      <c r="G2" s="97"/>
      <c r="I2" s="129"/>
      <c r="J2" s="69">
        <f>B2</f>
        <v>0</v>
      </c>
      <c r="K2" s="69" t="s">
        <v>1</v>
      </c>
      <c r="L2" s="110" t="s">
        <v>1</v>
      </c>
      <c r="M2" s="110" t="s">
        <v>1</v>
      </c>
      <c r="N2" s="130" t="str">
        <f>_xlfn.IFNA(VLOOKUP(F2,违规汇总!C:C,1,0),"无")</f>
        <v>无</v>
      </c>
      <c r="O2" s="110" t="s">
        <v>2</v>
      </c>
      <c r="P2" s="131" t="s">
        <v>3</v>
      </c>
      <c r="Q2" s="131" t="s">
        <v>1</v>
      </c>
      <c r="R2" s="44" t="s">
        <v>1</v>
      </c>
      <c r="S2" s="128">
        <f>MAX(T2:V2)</f>
        <v>0</v>
      </c>
      <c r="T2" s="44" t="s">
        <v>1</v>
      </c>
      <c r="U2" s="44" t="s">
        <v>1</v>
      </c>
      <c r="V2" s="44" t="s">
        <v>1</v>
      </c>
    </row>
    <row r="3" spans="6:23">
      <c r="F3" s="126" t="s">
        <v>4</v>
      </c>
      <c r="G3" s="126"/>
      <c r="H3" s="126"/>
      <c r="I3" s="126"/>
      <c r="J3" s="126"/>
      <c r="K3" s="126"/>
      <c r="L3" s="104" t="s">
        <v>5</v>
      </c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</row>
    <row r="4" s="95" customFormat="1" ht="62.4" spans="1:24">
      <c r="A4" s="100" t="s">
        <v>6</v>
      </c>
      <c r="B4" s="100" t="s">
        <v>7</v>
      </c>
      <c r="C4" s="100" t="s">
        <v>8</v>
      </c>
      <c r="D4" s="100" t="s">
        <v>9</v>
      </c>
      <c r="E4" s="101" t="s">
        <v>10</v>
      </c>
      <c r="F4" s="127" t="s">
        <v>11</v>
      </c>
      <c r="G4" s="127" t="s">
        <v>12</v>
      </c>
      <c r="H4" s="127" t="s">
        <v>13</v>
      </c>
      <c r="I4" s="132" t="s">
        <v>14</v>
      </c>
      <c r="J4" s="133" t="s">
        <v>15</v>
      </c>
      <c r="K4" s="134" t="s">
        <v>16</v>
      </c>
      <c r="L4" s="105" t="s">
        <v>17</v>
      </c>
      <c r="M4" s="106" t="s">
        <v>18</v>
      </c>
      <c r="N4" s="107" t="s">
        <v>19</v>
      </c>
      <c r="O4" s="108" t="s">
        <v>20</v>
      </c>
      <c r="P4" s="109" t="s">
        <v>21</v>
      </c>
      <c r="Q4" s="116" t="s">
        <v>22</v>
      </c>
      <c r="R4" s="117" t="s">
        <v>23</v>
      </c>
      <c r="S4" s="118" t="s">
        <v>24</v>
      </c>
      <c r="T4" s="119" t="s">
        <v>25</v>
      </c>
      <c r="U4" s="119" t="s">
        <v>26</v>
      </c>
      <c r="V4" s="119" t="s">
        <v>27</v>
      </c>
      <c r="W4" s="120" t="s">
        <v>28</v>
      </c>
      <c r="X4" s="125"/>
    </row>
    <row r="5" spans="1:24">
      <c r="A5" s="102">
        <v>44328</v>
      </c>
      <c r="B5" s="96" t="s">
        <v>29</v>
      </c>
      <c r="C5" s="96" t="s">
        <v>30</v>
      </c>
      <c r="D5" s="96" t="s">
        <v>31</v>
      </c>
      <c r="E5" s="96">
        <v>51061</v>
      </c>
      <c r="F5" s="128" t="s">
        <v>32</v>
      </c>
      <c r="G5" s="76">
        <v>17</v>
      </c>
      <c r="H5" s="76">
        <v>12</v>
      </c>
      <c r="I5" s="135">
        <v>0.705882352941177</v>
      </c>
      <c r="J5" s="68" t="s">
        <v>29</v>
      </c>
      <c r="K5" s="136">
        <v>0.946</v>
      </c>
      <c r="L5" s="75" t="s">
        <v>33</v>
      </c>
      <c r="M5" s="112">
        <v>4</v>
      </c>
      <c r="N5" s="75" t="s">
        <v>33</v>
      </c>
      <c r="O5" s="73" t="s">
        <v>2</v>
      </c>
      <c r="P5" s="137" t="s">
        <v>21</v>
      </c>
      <c r="Q5" s="123" t="s">
        <v>34</v>
      </c>
      <c r="R5" s="138">
        <v>91</v>
      </c>
      <c r="S5" s="139">
        <v>91</v>
      </c>
      <c r="T5" s="140">
        <v>78</v>
      </c>
      <c r="U5" s="140">
        <v>91</v>
      </c>
      <c r="V5" s="140">
        <v>91</v>
      </c>
      <c r="W5" s="97" t="s">
        <v>35</v>
      </c>
      <c r="X5" s="141"/>
    </row>
    <row r="6" spans="1:24">
      <c r="A6" s="102">
        <v>43574</v>
      </c>
      <c r="B6" s="96" t="s">
        <v>36</v>
      </c>
      <c r="C6" s="96" t="s">
        <v>36</v>
      </c>
      <c r="D6" s="96" t="s">
        <v>37</v>
      </c>
      <c r="E6" s="96">
        <v>3003</v>
      </c>
      <c r="F6" s="128" t="s">
        <v>38</v>
      </c>
      <c r="G6" s="76">
        <v>2</v>
      </c>
      <c r="H6" s="76">
        <v>2</v>
      </c>
      <c r="I6" s="135">
        <v>1</v>
      </c>
      <c r="J6" s="68" t="s">
        <v>36</v>
      </c>
      <c r="K6" s="136">
        <v>1</v>
      </c>
      <c r="L6" s="75" t="s">
        <v>33</v>
      </c>
      <c r="M6" s="112">
        <v>0</v>
      </c>
      <c r="N6" s="75" t="s">
        <v>33</v>
      </c>
      <c r="O6" s="73" t="s">
        <v>2</v>
      </c>
      <c r="P6" s="137" t="s">
        <v>21</v>
      </c>
      <c r="Q6" s="137" t="s">
        <v>39</v>
      </c>
      <c r="R6" s="138">
        <v>82</v>
      </c>
      <c r="S6" s="139">
        <v>79</v>
      </c>
      <c r="T6" s="140">
        <v>74</v>
      </c>
      <c r="U6" s="140">
        <v>70.5</v>
      </c>
      <c r="V6" s="140">
        <v>79</v>
      </c>
      <c r="W6" s="97" t="s">
        <v>35</v>
      </c>
      <c r="X6" s="141"/>
    </row>
    <row r="7" spans="1:24">
      <c r="A7" s="102">
        <v>44294</v>
      </c>
      <c r="B7" s="96" t="s">
        <v>29</v>
      </c>
      <c r="C7" s="96" t="s">
        <v>30</v>
      </c>
      <c r="D7" s="96" t="s">
        <v>31</v>
      </c>
      <c r="E7" s="96">
        <v>26700</v>
      </c>
      <c r="F7" s="128" t="s">
        <v>40</v>
      </c>
      <c r="G7" s="76">
        <v>11</v>
      </c>
      <c r="H7" s="76">
        <v>10</v>
      </c>
      <c r="I7" s="135">
        <v>0.909090909090909</v>
      </c>
      <c r="J7" s="68" t="s">
        <v>29</v>
      </c>
      <c r="K7" s="136">
        <v>0.995</v>
      </c>
      <c r="L7" s="75" t="s">
        <v>33</v>
      </c>
      <c r="M7" s="112">
        <v>1</v>
      </c>
      <c r="N7" s="75" t="s">
        <v>33</v>
      </c>
      <c r="O7" s="73" t="s">
        <v>2</v>
      </c>
      <c r="P7" s="137" t="s">
        <v>21</v>
      </c>
      <c r="Q7" s="137" t="s">
        <v>39</v>
      </c>
      <c r="R7" s="138">
        <v>82</v>
      </c>
      <c r="S7" s="139">
        <v>82</v>
      </c>
      <c r="T7" s="140">
        <v>79</v>
      </c>
      <c r="U7" s="140">
        <v>79</v>
      </c>
      <c r="V7" s="140">
        <v>82</v>
      </c>
      <c r="W7" s="97" t="s">
        <v>35</v>
      </c>
      <c r="X7" s="141"/>
    </row>
    <row r="8" spans="1:24">
      <c r="A8" s="102">
        <v>44051</v>
      </c>
      <c r="B8" s="96" t="s">
        <v>29</v>
      </c>
      <c r="C8" s="96" t="s">
        <v>41</v>
      </c>
      <c r="D8" s="96" t="s">
        <v>42</v>
      </c>
      <c r="E8" s="96">
        <v>21949</v>
      </c>
      <c r="F8" s="128" t="s">
        <v>43</v>
      </c>
      <c r="G8" s="76">
        <v>8</v>
      </c>
      <c r="H8" s="76">
        <v>7</v>
      </c>
      <c r="I8" s="135">
        <v>0.875</v>
      </c>
      <c r="J8" s="68" t="s">
        <v>29</v>
      </c>
      <c r="K8" s="136">
        <v>0.991</v>
      </c>
      <c r="L8" s="75" t="s">
        <v>33</v>
      </c>
      <c r="M8" s="112">
        <v>1</v>
      </c>
      <c r="N8" s="75" t="s">
        <v>33</v>
      </c>
      <c r="O8" s="73" t="s">
        <v>2</v>
      </c>
      <c r="P8" s="137" t="s">
        <v>21</v>
      </c>
      <c r="Q8" s="137" t="s">
        <v>39</v>
      </c>
      <c r="R8" s="138">
        <v>82.5</v>
      </c>
      <c r="S8" s="139">
        <v>82.5</v>
      </c>
      <c r="T8" s="140">
        <v>79</v>
      </c>
      <c r="U8" s="140">
        <v>68</v>
      </c>
      <c r="V8" s="140">
        <v>82.5</v>
      </c>
      <c r="W8" s="97" t="s">
        <v>35</v>
      </c>
      <c r="X8" s="141"/>
    </row>
    <row r="9" spans="1:24">
      <c r="A9" s="102">
        <v>44912</v>
      </c>
      <c r="B9" s="96" t="s">
        <v>44</v>
      </c>
      <c r="C9" s="96" t="s">
        <v>45</v>
      </c>
      <c r="D9" s="96" t="s">
        <v>46</v>
      </c>
      <c r="E9" s="96">
        <v>62362</v>
      </c>
      <c r="F9" s="128" t="s">
        <v>47</v>
      </c>
      <c r="G9" s="76">
        <v>18</v>
      </c>
      <c r="H9" s="76">
        <v>15</v>
      </c>
      <c r="I9" s="135">
        <v>0.833333333333333</v>
      </c>
      <c r="J9" s="68" t="s">
        <v>44</v>
      </c>
      <c r="K9" s="136">
        <v>0.983</v>
      </c>
      <c r="L9" s="75" t="s">
        <v>33</v>
      </c>
      <c r="M9" s="112">
        <v>1</v>
      </c>
      <c r="N9" s="75" t="s">
        <v>33</v>
      </c>
      <c r="O9" s="73" t="s">
        <v>2</v>
      </c>
      <c r="P9" s="137" t="s">
        <v>21</v>
      </c>
      <c r="Q9" s="137" t="s">
        <v>39</v>
      </c>
      <c r="R9" s="138">
        <v>84</v>
      </c>
      <c r="S9" s="139">
        <v>84</v>
      </c>
      <c r="T9" s="140">
        <v>84</v>
      </c>
      <c r="U9" s="140">
        <v>81</v>
      </c>
      <c r="V9" s="140">
        <v>72</v>
      </c>
      <c r="W9" s="97" t="s">
        <v>35</v>
      </c>
      <c r="X9" s="141"/>
    </row>
    <row r="10" spans="1:24">
      <c r="A10" s="102">
        <v>43648</v>
      </c>
      <c r="B10" s="96" t="s">
        <v>48</v>
      </c>
      <c r="C10" s="96" t="s">
        <v>49</v>
      </c>
      <c r="D10" s="96" t="s">
        <v>1</v>
      </c>
      <c r="E10" s="96">
        <v>3182</v>
      </c>
      <c r="F10" s="128" t="s">
        <v>50</v>
      </c>
      <c r="G10" s="76">
        <v>12</v>
      </c>
      <c r="H10" s="76">
        <v>10</v>
      </c>
      <c r="I10" s="135">
        <v>0.833333333333333</v>
      </c>
      <c r="J10" s="68" t="s">
        <v>48</v>
      </c>
      <c r="K10" s="136">
        <v>0.983</v>
      </c>
      <c r="L10" s="75" t="s">
        <v>33</v>
      </c>
      <c r="M10" s="112">
        <v>1</v>
      </c>
      <c r="N10" s="75" t="s">
        <v>33</v>
      </c>
      <c r="O10" s="73" t="s">
        <v>2</v>
      </c>
      <c r="P10" s="137" t="s">
        <v>21</v>
      </c>
      <c r="Q10" s="137" t="s">
        <v>39</v>
      </c>
      <c r="R10" s="138">
        <v>82</v>
      </c>
      <c r="S10" s="139">
        <v>73</v>
      </c>
      <c r="T10" s="140">
        <v>73</v>
      </c>
      <c r="U10" s="140">
        <v>67</v>
      </c>
      <c r="V10" s="140">
        <v>70</v>
      </c>
      <c r="W10" s="97" t="s">
        <v>35</v>
      </c>
      <c r="X10" s="141"/>
    </row>
    <row r="11" spans="1:24">
      <c r="A11" s="102">
        <v>44867</v>
      </c>
      <c r="B11" s="96" t="s">
        <v>29</v>
      </c>
      <c r="C11" s="96" t="s">
        <v>51</v>
      </c>
      <c r="D11" s="96" t="s">
        <v>52</v>
      </c>
      <c r="E11" s="96">
        <v>25708</v>
      </c>
      <c r="F11" s="128" t="s">
        <v>53</v>
      </c>
      <c r="G11" s="76">
        <v>5</v>
      </c>
      <c r="H11" s="76">
        <v>4</v>
      </c>
      <c r="I11" s="135">
        <v>0.8</v>
      </c>
      <c r="J11" s="68" t="s">
        <v>29</v>
      </c>
      <c r="K11" s="136">
        <v>0.979</v>
      </c>
      <c r="L11" s="75" t="s">
        <v>33</v>
      </c>
      <c r="M11" s="112">
        <v>1</v>
      </c>
      <c r="N11" s="75" t="s">
        <v>33</v>
      </c>
      <c r="O11" s="73" t="s">
        <v>2</v>
      </c>
      <c r="P11" s="137" t="s">
        <v>21</v>
      </c>
      <c r="Q11" s="137" t="s">
        <v>39</v>
      </c>
      <c r="R11" s="138">
        <v>82.5</v>
      </c>
      <c r="S11" s="139">
        <v>82.5</v>
      </c>
      <c r="T11" s="140">
        <v>76.5</v>
      </c>
      <c r="U11" s="140">
        <v>80</v>
      </c>
      <c r="V11" s="140">
        <v>82.5</v>
      </c>
      <c r="W11" s="97" t="s">
        <v>35</v>
      </c>
      <c r="X11" s="141"/>
    </row>
    <row r="12" spans="1:24">
      <c r="A12" s="102">
        <v>45409</v>
      </c>
      <c r="B12" s="96" t="s">
        <v>48</v>
      </c>
      <c r="C12" s="96" t="s">
        <v>49</v>
      </c>
      <c r="D12" s="96" t="s">
        <v>54</v>
      </c>
      <c r="E12" s="96">
        <v>70297</v>
      </c>
      <c r="F12" s="128" t="s">
        <v>55</v>
      </c>
      <c r="G12" s="76">
        <v>9</v>
      </c>
      <c r="H12" s="76">
        <v>7</v>
      </c>
      <c r="I12" s="135">
        <v>0.777777777777778</v>
      </c>
      <c r="J12" s="68" t="s">
        <v>48</v>
      </c>
      <c r="K12" s="136">
        <v>0.975</v>
      </c>
      <c r="L12" s="75" t="s">
        <v>33</v>
      </c>
      <c r="M12" s="112">
        <v>0</v>
      </c>
      <c r="N12" s="75" t="s">
        <v>33</v>
      </c>
      <c r="O12" s="73" t="s">
        <v>2</v>
      </c>
      <c r="P12" s="137" t="s">
        <v>21</v>
      </c>
      <c r="Q12" s="137" t="s">
        <v>39</v>
      </c>
      <c r="R12" s="138">
        <v>82</v>
      </c>
      <c r="S12" s="139">
        <v>64</v>
      </c>
      <c r="T12" s="140">
        <v>64</v>
      </c>
      <c r="U12" s="140">
        <v>60</v>
      </c>
      <c r="V12" s="140">
        <v>64</v>
      </c>
      <c r="W12" s="97" t="s">
        <v>35</v>
      </c>
      <c r="X12" s="141"/>
    </row>
    <row r="13" spans="1:24">
      <c r="A13" s="102">
        <v>44882</v>
      </c>
      <c r="B13" s="96" t="s">
        <v>29</v>
      </c>
      <c r="C13" s="96" t="s">
        <v>51</v>
      </c>
      <c r="D13" s="96" t="s">
        <v>52</v>
      </c>
      <c r="E13" s="96">
        <v>62180</v>
      </c>
      <c r="F13" s="128" t="s">
        <v>56</v>
      </c>
      <c r="G13" s="76">
        <v>22</v>
      </c>
      <c r="H13" s="76">
        <v>17</v>
      </c>
      <c r="I13" s="135">
        <v>0.772727272727273</v>
      </c>
      <c r="J13" s="68" t="s">
        <v>29</v>
      </c>
      <c r="K13" s="136">
        <v>0.971</v>
      </c>
      <c r="L13" s="75" t="s">
        <v>33</v>
      </c>
      <c r="M13" s="112">
        <v>0</v>
      </c>
      <c r="N13" s="75" t="s">
        <v>33</v>
      </c>
      <c r="O13" s="73" t="s">
        <v>2</v>
      </c>
      <c r="P13" s="137" t="s">
        <v>21</v>
      </c>
      <c r="Q13" s="137" t="s">
        <v>39</v>
      </c>
      <c r="R13" s="138">
        <v>84</v>
      </c>
      <c r="S13" s="139">
        <v>84</v>
      </c>
      <c r="T13" s="140">
        <v>84</v>
      </c>
      <c r="U13" s="140">
        <v>71</v>
      </c>
      <c r="V13" s="140">
        <v>73.5</v>
      </c>
      <c r="W13" s="97" t="s">
        <v>35</v>
      </c>
      <c r="X13" s="141"/>
    </row>
    <row r="14" spans="1:24">
      <c r="A14" s="102">
        <v>43277</v>
      </c>
      <c r="B14" s="96" t="s">
        <v>36</v>
      </c>
      <c r="C14" s="96" t="s">
        <v>36</v>
      </c>
      <c r="D14" s="96" t="s">
        <v>37</v>
      </c>
      <c r="E14" s="96">
        <v>1228</v>
      </c>
      <c r="F14" s="128" t="s">
        <v>57</v>
      </c>
      <c r="G14" s="76">
        <v>4</v>
      </c>
      <c r="H14" s="76">
        <v>3</v>
      </c>
      <c r="I14" s="135">
        <v>0.75</v>
      </c>
      <c r="J14" s="68" t="s">
        <v>36</v>
      </c>
      <c r="K14" s="136">
        <v>0.954</v>
      </c>
      <c r="L14" s="75" t="s">
        <v>33</v>
      </c>
      <c r="M14" s="112">
        <v>0</v>
      </c>
      <c r="N14" s="75" t="s">
        <v>33</v>
      </c>
      <c r="O14" s="73" t="s">
        <v>2</v>
      </c>
      <c r="P14" s="137" t="s">
        <v>21</v>
      </c>
      <c r="Q14" s="137" t="s">
        <v>39</v>
      </c>
      <c r="R14" s="138">
        <v>82</v>
      </c>
      <c r="S14" s="139">
        <v>82</v>
      </c>
      <c r="T14" s="140">
        <v>82</v>
      </c>
      <c r="U14" s="140">
        <v>65.5</v>
      </c>
      <c r="V14" s="140">
        <v>76</v>
      </c>
      <c r="W14" s="97" t="s">
        <v>35</v>
      </c>
      <c r="X14" s="141"/>
    </row>
    <row r="15" spans="1:24">
      <c r="A15" s="102">
        <v>44022</v>
      </c>
      <c r="B15" s="96" t="s">
        <v>48</v>
      </c>
      <c r="C15" s="96" t="s">
        <v>49</v>
      </c>
      <c r="D15" s="96" t="s">
        <v>58</v>
      </c>
      <c r="E15" s="96">
        <v>21563</v>
      </c>
      <c r="F15" s="128" t="s">
        <v>59</v>
      </c>
      <c r="G15" s="76">
        <v>16</v>
      </c>
      <c r="H15" s="76">
        <v>12</v>
      </c>
      <c r="I15" s="135">
        <v>0.75</v>
      </c>
      <c r="J15" s="68" t="s">
        <v>48</v>
      </c>
      <c r="K15" s="136">
        <v>0.954</v>
      </c>
      <c r="L15" s="75" t="s">
        <v>33</v>
      </c>
      <c r="M15" s="112">
        <v>1</v>
      </c>
      <c r="N15" s="75" t="s">
        <v>33</v>
      </c>
      <c r="O15" s="73" t="s">
        <v>2</v>
      </c>
      <c r="P15" s="137" t="s">
        <v>21</v>
      </c>
      <c r="Q15" s="137" t="s">
        <v>39</v>
      </c>
      <c r="R15" s="138">
        <v>89</v>
      </c>
      <c r="S15" s="139">
        <v>89</v>
      </c>
      <c r="T15" s="140">
        <v>84</v>
      </c>
      <c r="U15" s="140">
        <v>89</v>
      </c>
      <c r="V15" s="140">
        <v>80.5</v>
      </c>
      <c r="W15" s="97" t="s">
        <v>35</v>
      </c>
      <c r="X15" s="141"/>
    </row>
    <row r="16" spans="1:24">
      <c r="A16" s="102">
        <v>44120</v>
      </c>
      <c r="B16" s="96" t="s">
        <v>29</v>
      </c>
      <c r="C16" s="96" t="s">
        <v>51</v>
      </c>
      <c r="D16" s="96" t="s">
        <v>52</v>
      </c>
      <c r="E16" s="96">
        <v>23220</v>
      </c>
      <c r="F16" s="128" t="s">
        <v>60</v>
      </c>
      <c r="G16" s="76">
        <v>12</v>
      </c>
      <c r="H16" s="76">
        <v>9</v>
      </c>
      <c r="I16" s="135">
        <v>0.75</v>
      </c>
      <c r="J16" s="68" t="s">
        <v>29</v>
      </c>
      <c r="K16" s="136">
        <v>0.954</v>
      </c>
      <c r="L16" s="75" t="s">
        <v>33</v>
      </c>
      <c r="M16" s="112">
        <v>0</v>
      </c>
      <c r="N16" s="75" t="s">
        <v>33</v>
      </c>
      <c r="O16" s="73" t="s">
        <v>2</v>
      </c>
      <c r="P16" s="137" t="s">
        <v>21</v>
      </c>
      <c r="Q16" s="137" t="s">
        <v>39</v>
      </c>
      <c r="R16" s="138">
        <v>89</v>
      </c>
      <c r="S16" s="139">
        <v>89</v>
      </c>
      <c r="T16" s="140">
        <v>78</v>
      </c>
      <c r="U16" s="140">
        <v>82</v>
      </c>
      <c r="V16" s="140">
        <v>89</v>
      </c>
      <c r="W16" s="97" t="s">
        <v>35</v>
      </c>
      <c r="X16" s="141"/>
    </row>
    <row r="17" spans="1:24">
      <c r="A17" s="102">
        <v>44120</v>
      </c>
      <c r="B17" s="96" t="s">
        <v>29</v>
      </c>
      <c r="C17" s="96" t="s">
        <v>30</v>
      </c>
      <c r="D17" s="96" t="s">
        <v>61</v>
      </c>
      <c r="E17" s="96">
        <v>23225</v>
      </c>
      <c r="F17" s="128" t="s">
        <v>62</v>
      </c>
      <c r="G17" s="76">
        <v>24</v>
      </c>
      <c r="H17" s="76">
        <v>18</v>
      </c>
      <c r="I17" s="135">
        <v>0.75</v>
      </c>
      <c r="J17" s="68" t="s">
        <v>29</v>
      </c>
      <c r="K17" s="136">
        <v>0.954</v>
      </c>
      <c r="L17" s="75" t="s">
        <v>33</v>
      </c>
      <c r="M17" s="112">
        <v>1</v>
      </c>
      <c r="N17" s="75" t="s">
        <v>33</v>
      </c>
      <c r="O17" s="73" t="s">
        <v>2</v>
      </c>
      <c r="P17" s="137" t="s">
        <v>21</v>
      </c>
      <c r="Q17" s="137" t="s">
        <v>39</v>
      </c>
      <c r="R17" s="138">
        <v>82</v>
      </c>
      <c r="S17" s="139">
        <v>81</v>
      </c>
      <c r="T17" s="140">
        <v>74</v>
      </c>
      <c r="U17" s="140">
        <v>76.5</v>
      </c>
      <c r="V17" s="140">
        <v>81</v>
      </c>
      <c r="W17" s="97" t="s">
        <v>35</v>
      </c>
      <c r="X17" s="141"/>
    </row>
    <row r="18" spans="1:24">
      <c r="A18" s="102">
        <v>43797</v>
      </c>
      <c r="B18" s="96" t="s">
        <v>48</v>
      </c>
      <c r="C18" s="96" t="s">
        <v>49</v>
      </c>
      <c r="D18" s="96" t="s">
        <v>54</v>
      </c>
      <c r="E18" s="96">
        <v>6249</v>
      </c>
      <c r="F18" s="128" t="s">
        <v>63</v>
      </c>
      <c r="G18" s="76">
        <v>11</v>
      </c>
      <c r="H18" s="76">
        <v>8</v>
      </c>
      <c r="I18" s="135">
        <v>0.727272727272727</v>
      </c>
      <c r="J18" s="68" t="s">
        <v>48</v>
      </c>
      <c r="K18" s="136">
        <v>0.95</v>
      </c>
      <c r="L18" s="75" t="s">
        <v>33</v>
      </c>
      <c r="M18" s="112">
        <v>1</v>
      </c>
      <c r="N18" s="75" t="s">
        <v>33</v>
      </c>
      <c r="O18" s="73" t="s">
        <v>2</v>
      </c>
      <c r="P18" s="137" t="s">
        <v>21</v>
      </c>
      <c r="Q18" s="137" t="s">
        <v>39</v>
      </c>
      <c r="R18" s="138">
        <v>89</v>
      </c>
      <c r="S18" s="139">
        <v>89</v>
      </c>
      <c r="T18" s="140">
        <v>79</v>
      </c>
      <c r="U18" s="140">
        <v>62</v>
      </c>
      <c r="V18" s="140">
        <v>89</v>
      </c>
      <c r="W18" s="97" t="s">
        <v>35</v>
      </c>
      <c r="X18" s="141"/>
    </row>
    <row r="19" spans="1:24">
      <c r="A19" s="102">
        <v>43724</v>
      </c>
      <c r="B19" s="96" t="s">
        <v>48</v>
      </c>
      <c r="C19" s="96" t="s">
        <v>64</v>
      </c>
      <c r="D19" s="96" t="s">
        <v>65</v>
      </c>
      <c r="E19" s="96">
        <v>5031</v>
      </c>
      <c r="F19" s="128" t="s">
        <v>66</v>
      </c>
      <c r="G19" s="76">
        <v>10</v>
      </c>
      <c r="H19" s="76">
        <v>7</v>
      </c>
      <c r="I19" s="135">
        <v>0.7</v>
      </c>
      <c r="J19" s="68" t="s">
        <v>48</v>
      </c>
      <c r="K19" s="136">
        <v>0.933</v>
      </c>
      <c r="L19" s="75" t="s">
        <v>33</v>
      </c>
      <c r="M19" s="112">
        <v>0</v>
      </c>
      <c r="N19" s="75" t="s">
        <v>33</v>
      </c>
      <c r="O19" s="73" t="s">
        <v>2</v>
      </c>
      <c r="P19" s="137" t="s">
        <v>21</v>
      </c>
      <c r="Q19" s="137" t="s">
        <v>39</v>
      </c>
      <c r="R19" s="138">
        <v>82</v>
      </c>
      <c r="S19" s="139">
        <v>76</v>
      </c>
      <c r="T19" s="140">
        <v>76</v>
      </c>
      <c r="U19" s="140">
        <v>75</v>
      </c>
      <c r="V19" s="140">
        <v>76</v>
      </c>
      <c r="W19" s="97" t="s">
        <v>35</v>
      </c>
      <c r="X19" s="141"/>
    </row>
    <row r="20" spans="1:24">
      <c r="A20" s="102">
        <v>44287</v>
      </c>
      <c r="B20" s="96" t="s">
        <v>44</v>
      </c>
      <c r="C20" s="96" t="s">
        <v>67</v>
      </c>
      <c r="D20" s="96" t="s">
        <v>68</v>
      </c>
      <c r="E20" s="96">
        <v>26357</v>
      </c>
      <c r="F20" s="128" t="s">
        <v>69</v>
      </c>
      <c r="G20" s="76">
        <v>20</v>
      </c>
      <c r="H20" s="76">
        <v>14</v>
      </c>
      <c r="I20" s="135">
        <v>0.7</v>
      </c>
      <c r="J20" s="68" t="s">
        <v>44</v>
      </c>
      <c r="K20" s="136">
        <v>0.933</v>
      </c>
      <c r="L20" s="75" t="s">
        <v>33</v>
      </c>
      <c r="M20" s="112">
        <v>0</v>
      </c>
      <c r="N20" s="75" t="s">
        <v>33</v>
      </c>
      <c r="O20" s="73" t="s">
        <v>2</v>
      </c>
      <c r="P20" s="137" t="s">
        <v>21</v>
      </c>
      <c r="Q20" s="137" t="s">
        <v>39</v>
      </c>
      <c r="R20" s="138">
        <v>85</v>
      </c>
      <c r="S20" s="139">
        <v>85</v>
      </c>
      <c r="T20" s="140">
        <v>85</v>
      </c>
      <c r="U20" s="140">
        <v>85</v>
      </c>
      <c r="V20" s="140">
        <v>85</v>
      </c>
      <c r="W20" s="97" t="s">
        <v>35</v>
      </c>
      <c r="X20" s="141"/>
    </row>
    <row r="21" spans="1:24">
      <c r="A21" s="102">
        <v>43761</v>
      </c>
      <c r="B21" s="96" t="s">
        <v>48</v>
      </c>
      <c r="C21" s="96" t="s">
        <v>64</v>
      </c>
      <c r="D21" s="96" t="s">
        <v>65</v>
      </c>
      <c r="E21" s="96">
        <v>3820</v>
      </c>
      <c r="F21" s="128" t="s">
        <v>70</v>
      </c>
      <c r="G21" s="76">
        <v>10</v>
      </c>
      <c r="H21" s="76">
        <v>7</v>
      </c>
      <c r="I21" s="135">
        <v>0.7</v>
      </c>
      <c r="J21" s="68" t="s">
        <v>48</v>
      </c>
      <c r="K21" s="136">
        <v>0.933</v>
      </c>
      <c r="L21" s="75" t="s">
        <v>33</v>
      </c>
      <c r="M21" s="112">
        <v>0</v>
      </c>
      <c r="N21" s="75" t="s">
        <v>33</v>
      </c>
      <c r="O21" s="73" t="s">
        <v>2</v>
      </c>
      <c r="P21" s="137" t="s">
        <v>21</v>
      </c>
      <c r="Q21" s="137" t="s">
        <v>39</v>
      </c>
      <c r="R21" s="138">
        <v>82</v>
      </c>
      <c r="S21" s="139">
        <v>82</v>
      </c>
      <c r="T21" s="140">
        <v>82</v>
      </c>
      <c r="U21" s="140">
        <v>82</v>
      </c>
      <c r="V21" s="140">
        <v>82</v>
      </c>
      <c r="W21" s="97" t="s">
        <v>35</v>
      </c>
      <c r="X21" s="141"/>
    </row>
    <row r="22" spans="1:24">
      <c r="A22" s="102">
        <v>43804</v>
      </c>
      <c r="B22" s="96" t="s">
        <v>48</v>
      </c>
      <c r="C22" s="96" t="s">
        <v>49</v>
      </c>
      <c r="D22" s="96" t="s">
        <v>58</v>
      </c>
      <c r="E22" s="96">
        <v>6369</v>
      </c>
      <c r="F22" s="128" t="s">
        <v>71</v>
      </c>
      <c r="G22" s="76">
        <v>13</v>
      </c>
      <c r="H22" s="76">
        <v>9</v>
      </c>
      <c r="I22" s="135">
        <v>0.692307692307692</v>
      </c>
      <c r="J22" s="68" t="s">
        <v>48</v>
      </c>
      <c r="K22" s="136">
        <v>0.929</v>
      </c>
      <c r="L22" s="75" t="s">
        <v>33</v>
      </c>
      <c r="M22" s="112">
        <v>1</v>
      </c>
      <c r="N22" s="75" t="s">
        <v>33</v>
      </c>
      <c r="O22" s="73" t="s">
        <v>2</v>
      </c>
      <c r="P22" s="137" t="s">
        <v>21</v>
      </c>
      <c r="Q22" s="137" t="s">
        <v>39</v>
      </c>
      <c r="R22" s="138">
        <v>86</v>
      </c>
      <c r="S22" s="139">
        <v>86</v>
      </c>
      <c r="T22" s="140">
        <v>71</v>
      </c>
      <c r="U22" s="140">
        <v>85</v>
      </c>
      <c r="V22" s="140">
        <v>86</v>
      </c>
      <c r="W22" s="97" t="s">
        <v>35</v>
      </c>
      <c r="X22" s="141"/>
    </row>
    <row r="23" spans="1:24">
      <c r="A23" s="102">
        <v>44002</v>
      </c>
      <c r="B23" s="96" t="s">
        <v>44</v>
      </c>
      <c r="C23" s="96" t="s">
        <v>45</v>
      </c>
      <c r="D23" s="96" t="s">
        <v>72</v>
      </c>
      <c r="E23" s="96">
        <v>21286</v>
      </c>
      <c r="F23" s="128" t="s">
        <v>73</v>
      </c>
      <c r="G23" s="76">
        <v>16</v>
      </c>
      <c r="H23" s="76">
        <v>11</v>
      </c>
      <c r="I23" s="135">
        <v>0.6875</v>
      </c>
      <c r="J23" s="68" t="s">
        <v>44</v>
      </c>
      <c r="K23" s="136">
        <v>0.921</v>
      </c>
      <c r="L23" s="75" t="s">
        <v>33</v>
      </c>
      <c r="M23" s="112">
        <v>0</v>
      </c>
      <c r="N23" s="75" t="s">
        <v>33</v>
      </c>
      <c r="O23" s="73" t="s">
        <v>2</v>
      </c>
      <c r="P23" s="137" t="s">
        <v>21</v>
      </c>
      <c r="Q23" s="137" t="s">
        <v>39</v>
      </c>
      <c r="R23" s="138">
        <v>82</v>
      </c>
      <c r="S23" s="139">
        <v>82</v>
      </c>
      <c r="T23" s="140">
        <v>82</v>
      </c>
      <c r="U23" s="140">
        <v>79.5</v>
      </c>
      <c r="V23" s="140">
        <v>78</v>
      </c>
      <c r="W23" s="97" t="s">
        <v>35</v>
      </c>
      <c r="X23" s="141"/>
    </row>
    <row r="24" spans="1:24">
      <c r="A24" s="102">
        <v>44996</v>
      </c>
      <c r="B24" s="96" t="s">
        <v>48</v>
      </c>
      <c r="C24" s="96" t="s">
        <v>49</v>
      </c>
      <c r="D24" s="96" t="s">
        <v>58</v>
      </c>
      <c r="E24" s="96">
        <v>62769</v>
      </c>
      <c r="F24" s="128" t="s">
        <v>74</v>
      </c>
      <c r="G24" s="76">
        <v>16</v>
      </c>
      <c r="H24" s="76">
        <v>11</v>
      </c>
      <c r="I24" s="135">
        <v>0.6875</v>
      </c>
      <c r="J24" s="68" t="s">
        <v>48</v>
      </c>
      <c r="K24" s="136">
        <v>0.921</v>
      </c>
      <c r="L24" s="75" t="s">
        <v>33</v>
      </c>
      <c r="M24" s="112">
        <v>0</v>
      </c>
      <c r="N24" s="75" t="s">
        <v>33</v>
      </c>
      <c r="O24" s="73" t="s">
        <v>2</v>
      </c>
      <c r="P24" s="137" t="s">
        <v>21</v>
      </c>
      <c r="Q24" s="137" t="s">
        <v>39</v>
      </c>
      <c r="R24" s="138">
        <v>82</v>
      </c>
      <c r="S24" s="139">
        <v>78</v>
      </c>
      <c r="T24" s="140">
        <v>77</v>
      </c>
      <c r="U24" s="140">
        <v>78</v>
      </c>
      <c r="V24" s="140">
        <v>78</v>
      </c>
      <c r="W24" s="97" t="s">
        <v>35</v>
      </c>
      <c r="X24" s="141"/>
    </row>
    <row r="25" spans="1:24">
      <c r="A25" s="102">
        <v>45395</v>
      </c>
      <c r="B25" s="96" t="s">
        <v>48</v>
      </c>
      <c r="C25" s="96" t="s">
        <v>64</v>
      </c>
      <c r="D25" s="96" t="s">
        <v>75</v>
      </c>
      <c r="E25" s="96">
        <v>70177</v>
      </c>
      <c r="F25" s="128" t="s">
        <v>76</v>
      </c>
      <c r="G25" s="76">
        <v>22</v>
      </c>
      <c r="H25" s="76">
        <v>15</v>
      </c>
      <c r="I25" s="135">
        <v>0.681818181818182</v>
      </c>
      <c r="J25" s="68" t="s">
        <v>48</v>
      </c>
      <c r="K25" s="136">
        <v>0.917</v>
      </c>
      <c r="L25" s="75" t="s">
        <v>33</v>
      </c>
      <c r="M25" s="112">
        <v>0</v>
      </c>
      <c r="N25" s="75" t="s">
        <v>33</v>
      </c>
      <c r="O25" s="73" t="s">
        <v>2</v>
      </c>
      <c r="P25" s="137" t="s">
        <v>21</v>
      </c>
      <c r="Q25" s="137" t="s">
        <v>39</v>
      </c>
      <c r="R25" s="138">
        <v>82</v>
      </c>
      <c r="S25" s="139">
        <v>82</v>
      </c>
      <c r="T25" s="140">
        <v>82</v>
      </c>
      <c r="U25" s="140">
        <v>67</v>
      </c>
      <c r="V25" s="140">
        <v>71</v>
      </c>
      <c r="W25" s="97" t="s">
        <v>35</v>
      </c>
      <c r="X25" s="141"/>
    </row>
    <row r="26" spans="1:24">
      <c r="A26" s="102">
        <v>44308</v>
      </c>
      <c r="B26" s="96" t="s">
        <v>48</v>
      </c>
      <c r="C26" s="96" t="s">
        <v>49</v>
      </c>
      <c r="D26" s="96" t="s">
        <v>77</v>
      </c>
      <c r="E26" s="96">
        <v>50526</v>
      </c>
      <c r="F26" s="128" t="s">
        <v>78</v>
      </c>
      <c r="G26" s="76">
        <v>25</v>
      </c>
      <c r="H26" s="76">
        <v>17</v>
      </c>
      <c r="I26" s="135">
        <v>0.68</v>
      </c>
      <c r="J26" s="68" t="s">
        <v>48</v>
      </c>
      <c r="K26" s="136">
        <v>0.913</v>
      </c>
      <c r="L26" s="75" t="s">
        <v>33</v>
      </c>
      <c r="M26" s="112">
        <v>1</v>
      </c>
      <c r="N26" s="75" t="s">
        <v>33</v>
      </c>
      <c r="O26" s="73" t="s">
        <v>2</v>
      </c>
      <c r="P26" s="137" t="s">
        <v>21</v>
      </c>
      <c r="Q26" s="137" t="s">
        <v>39</v>
      </c>
      <c r="R26" s="138">
        <v>85</v>
      </c>
      <c r="S26" s="139">
        <v>85</v>
      </c>
      <c r="T26" s="140">
        <v>85</v>
      </c>
      <c r="U26" s="140">
        <v>75.5</v>
      </c>
      <c r="V26" s="140">
        <v>67</v>
      </c>
      <c r="W26" s="97" t="s">
        <v>35</v>
      </c>
      <c r="X26" s="141"/>
    </row>
  </sheetData>
  <autoFilter ref="A4:Y26">
    <sortState ref="A4:Y26">
      <sortCondition ref="W4" descending="1"/>
    </sortState>
    <extLst/>
  </autoFilter>
  <mergeCells count="3">
    <mergeCell ref="F1:W1"/>
    <mergeCell ref="F3:K3"/>
    <mergeCell ref="L3:W3"/>
  </mergeCells>
  <conditionalFormatting sqref="G2">
    <cfRule type="containsText" dxfId="0" priority="142" operator="between" text="不参与">
      <formula>NOT(ISERROR(SEARCH("不参与",G2)))</formula>
    </cfRule>
    <cfRule type="containsText" dxfId="1" priority="143" operator="between" text="后">
      <formula>NOT(ISERROR(SEARCH("后",G2)))</formula>
    </cfRule>
    <cfRule type="containsText" dxfId="2" priority="144" operator="between" text="前">
      <formula>NOT(ISERROR(SEARCH("前",G2)))</formula>
    </cfRule>
  </conditionalFormatting>
  <conditionalFormatting sqref="K2">
    <cfRule type="cellIs" dxfId="3" priority="134" operator="greaterThan">
      <formula>0.9</formula>
    </cfRule>
  </conditionalFormatting>
  <conditionalFormatting sqref="L2">
    <cfRule type="cellIs" dxfId="4" priority="139" operator="equal">
      <formula>"有"</formula>
    </cfRule>
  </conditionalFormatting>
  <conditionalFormatting sqref="M2">
    <cfRule type="cellIs" dxfId="4" priority="133" operator="equal">
      <formula>"有"</formula>
    </cfRule>
  </conditionalFormatting>
  <conditionalFormatting sqref="N2">
    <cfRule type="containsText" dxfId="0" priority="132" operator="between" text="有">
      <formula>NOT(ISERROR(SEARCH("有",N2)))</formula>
    </cfRule>
    <cfRule type="cellIs" dxfId="4" priority="140" operator="greaterThan">
      <formula>"有"</formula>
    </cfRule>
  </conditionalFormatting>
  <conditionalFormatting sqref="O2">
    <cfRule type="cellIs" dxfId="4" priority="135" operator="equal">
      <formula>"有"</formula>
    </cfRule>
  </conditionalFormatting>
  <conditionalFormatting sqref="W2">
    <cfRule type="containsText" dxfId="0" priority="136" operator="between" text="不参与">
      <formula>NOT(ISERROR(SEARCH("不参与",W2)))</formula>
    </cfRule>
    <cfRule type="containsText" dxfId="1" priority="137" operator="between" text="后">
      <formula>NOT(ISERROR(SEARCH("后",W2)))</formula>
    </cfRule>
    <cfRule type="containsText" dxfId="2" priority="138" operator="between" text="前">
      <formula>NOT(ISERROR(SEARCH("前",W2)))</formula>
    </cfRule>
  </conditionalFormatting>
  <conditionalFormatting sqref="F4">
    <cfRule type="duplicateValues" dxfId="5" priority="1186"/>
  </conditionalFormatting>
  <conditionalFormatting sqref="I4">
    <cfRule type="cellIs" dxfId="3" priority="1189" operator="greaterThan">
      <formula>0.4</formula>
    </cfRule>
  </conditionalFormatting>
  <conditionalFormatting sqref="N4">
    <cfRule type="cellIs" dxfId="4" priority="1184" operator="equal">
      <formula>"有"</formula>
    </cfRule>
  </conditionalFormatting>
  <conditionalFormatting sqref="O4">
    <cfRule type="containsText" dxfId="0" priority="1182" operator="between" text="是">
      <formula>NOT(ISERROR(SEARCH("是",O4)))</formula>
    </cfRule>
  </conditionalFormatting>
  <conditionalFormatting sqref="W14">
    <cfRule type="containsText" dxfId="0" priority="126" operator="between" text="不参与">
      <formula>NOT(ISERROR(SEARCH("不参与",W14)))</formula>
    </cfRule>
    <cfRule type="containsText" dxfId="1" priority="127" operator="between" text="后">
      <formula>NOT(ISERROR(SEARCH("后",W14)))</formula>
    </cfRule>
    <cfRule type="containsText" dxfId="2" priority="128" operator="between" text="前">
      <formula>NOT(ISERROR(SEARCH("前",W14)))</formula>
    </cfRule>
  </conditionalFormatting>
  <conditionalFormatting sqref="Q18">
    <cfRule type="containsText" dxfId="2" priority="5" operator="between" text="免检">
      <formula>NOT(ISERROR(SEARCH("免检",Q18)))</formula>
    </cfRule>
  </conditionalFormatting>
  <conditionalFormatting sqref="W25">
    <cfRule type="containsText" dxfId="2" priority="13" operator="between" text="前">
      <formula>NOT(ISERROR(SEARCH("前",W25)))</formula>
    </cfRule>
    <cfRule type="containsText" dxfId="1" priority="12" operator="between" text="后">
      <formula>NOT(ISERROR(SEARCH("后",W25)))</formula>
    </cfRule>
    <cfRule type="containsText" dxfId="0" priority="11" operator="between" text="不参与">
      <formula>NOT(ISERROR(SEARCH("不参与",W25)))</formula>
    </cfRule>
  </conditionalFormatting>
  <conditionalFormatting sqref="W26">
    <cfRule type="containsText" dxfId="0" priority="117" operator="between" text="不参与">
      <formula>NOT(ISERROR(SEARCH("不参与",W26)))</formula>
    </cfRule>
    <cfRule type="containsText" dxfId="1" priority="118" operator="between" text="后">
      <formula>NOT(ISERROR(SEARCH("后",W26)))</formula>
    </cfRule>
    <cfRule type="containsText" dxfId="2" priority="119" operator="between" text="前">
      <formula>NOT(ISERROR(SEARCH("前",W26)))</formula>
    </cfRule>
  </conditionalFormatting>
  <conditionalFormatting sqref="K5:K1048576">
    <cfRule type="cellIs" dxfId="3" priority="304" operator="greaterThan">
      <formula>0.9</formula>
    </cfRule>
  </conditionalFormatting>
  <conditionalFormatting sqref="L3:L4">
    <cfRule type="containsText" dxfId="0" priority="1185" operator="between" text="有">
      <formula>NOT(ISERROR(SEARCH("有",L3)))</formula>
    </cfRule>
  </conditionalFormatting>
  <conditionalFormatting sqref="L5:L26">
    <cfRule type="cellIs" dxfId="4" priority="8" operator="greaterThan">
      <formula>"有"</formula>
    </cfRule>
    <cfRule type="containsText" dxfId="0" priority="7" operator="between" text="有">
      <formula>NOT(ISERROR(SEARCH("有",L5)))</formula>
    </cfRule>
  </conditionalFormatting>
  <conditionalFormatting sqref="M$1:M$1048576">
    <cfRule type="cellIs" dxfId="4" priority="6" operator="greaterThan">
      <formula>2</formula>
    </cfRule>
  </conditionalFormatting>
  <conditionalFormatting sqref="M5:M26">
    <cfRule type="cellIs" dxfId="4" priority="145" operator="equal">
      <formula>"有"</formula>
    </cfRule>
  </conditionalFormatting>
  <conditionalFormatting sqref="M27:M1048576">
    <cfRule type="cellIs" dxfId="4" priority="344" operator="greaterThan">
      <formula>2</formula>
    </cfRule>
    <cfRule type="cellIs" dxfId="4" priority="346" operator="greaterThan">
      <formula>2</formula>
    </cfRule>
  </conditionalFormatting>
  <conditionalFormatting sqref="N4:N1048576">
    <cfRule type="containsText" dxfId="0" priority="141" operator="between" text="有">
      <formula>NOT(ISERROR(SEARCH("有",N4)))</formula>
    </cfRule>
    <cfRule type="cellIs" dxfId="4" priority="348" operator="greaterThan">
      <formula>"有"</formula>
    </cfRule>
  </conditionalFormatting>
  <conditionalFormatting sqref="O5:O26">
    <cfRule type="cellIs" dxfId="4" priority="305" operator="equal">
      <formula>"有"</formula>
    </cfRule>
  </conditionalFormatting>
  <conditionalFormatting sqref="W17:W19">
    <cfRule type="containsText" dxfId="2" priority="16" operator="between" text="前">
      <formula>NOT(ISERROR(SEARCH("前",W17)))</formula>
    </cfRule>
    <cfRule type="containsText" dxfId="1" priority="15" operator="between" text="后">
      <formula>NOT(ISERROR(SEARCH("后",W17)))</formula>
    </cfRule>
    <cfRule type="containsText" dxfId="0" priority="14" operator="between" text="不参与">
      <formula>NOT(ISERROR(SEARCH("不参与",W17)))</formula>
    </cfRule>
  </conditionalFormatting>
  <conditionalFormatting sqref="W22:W24">
    <cfRule type="containsText" dxfId="0" priority="120" operator="between" text="不参与">
      <formula>NOT(ISERROR(SEARCH("不参与",W22)))</formula>
    </cfRule>
    <cfRule type="containsText" dxfId="1" priority="121" operator="between" text="后">
      <formula>NOT(ISERROR(SEARCH("后",W22)))</formula>
    </cfRule>
    <cfRule type="containsText" dxfId="2" priority="122" operator="between" text="前">
      <formula>NOT(ISERROR(SEARCH("前",W22)))</formula>
    </cfRule>
  </conditionalFormatting>
  <conditionalFormatting sqref="S1:S4 S27:S1048576">
    <cfRule type="cellIs" dxfId="3" priority="4" operator="lessThan">
      <formula>82</formula>
    </cfRule>
  </conditionalFormatting>
  <conditionalFormatting sqref="Q2 Q4 Q6:Q17 Q19:Q1048576">
    <cfRule type="containsText" dxfId="2" priority="50" operator="between" text="免检">
      <formula>NOT(ISERROR(SEARCH("免检",Q2)))</formula>
    </cfRule>
  </conditionalFormatting>
  <conditionalFormatting sqref="L3:L4 L27:L1048576">
    <cfRule type="cellIs" dxfId="4" priority="345" operator="equal">
      <formula>"有"</formula>
    </cfRule>
  </conditionalFormatting>
  <conditionalFormatting sqref="O4 O27:O1048576">
    <cfRule type="containsText" dxfId="0" priority="347" operator="between" text="是">
      <formula>NOT(ISERROR(SEARCH("是",O4)))</formula>
    </cfRule>
  </conditionalFormatting>
  <conditionalFormatting sqref="W4:W13 W15 W21 W27:W1048576">
    <cfRule type="containsText" dxfId="0" priority="336" operator="between" text="不参与">
      <formula>NOT(ISERROR(SEARCH("不参与",W4)))</formula>
    </cfRule>
    <cfRule type="containsText" dxfId="1" priority="337" operator="between" text="后">
      <formula>NOT(ISERROR(SEARCH("后",W4)))</formula>
    </cfRule>
    <cfRule type="containsText" dxfId="2" priority="338" operator="between" text="前">
      <formula>NOT(ISERROR(SEARCH("前",W4)))</formula>
    </cfRule>
  </conditionalFormatting>
  <conditionalFormatting sqref="W16 W20">
    <cfRule type="containsText" dxfId="0" priority="123" operator="between" text="不参与">
      <formula>NOT(ISERROR(SEARCH("不参与",W16)))</formula>
    </cfRule>
    <cfRule type="containsText" dxfId="1" priority="124" operator="between" text="后">
      <formula>NOT(ISERROR(SEARCH("后",W16)))</formula>
    </cfRule>
    <cfRule type="containsText" dxfId="2" priority="125" operator="between" text="前">
      <formula>NOT(ISERROR(SEARCH("前",W16)))</formula>
    </cfRule>
  </conditionalFormatting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0"/>
  <sheetViews>
    <sheetView zoomScale="85" zoomScaleNormal="85" workbookViewId="0">
      <selection activeCell="M15" sqref="M15"/>
    </sheetView>
  </sheetViews>
  <sheetFormatPr defaultColWidth="9.00925925925926" defaultRowHeight="15"/>
  <cols>
    <col min="1" max="1" width="12.1296296296296" style="96" customWidth="1"/>
    <col min="2" max="3" width="11.5" style="96" customWidth="1"/>
    <col min="4" max="4" width="11.25" style="96" customWidth="1"/>
    <col min="5" max="5" width="7.35185185185185" style="96" customWidth="1"/>
    <col min="6" max="6" width="8.37962962962963" style="65" customWidth="1"/>
    <col min="7" max="8" width="5.87962962962963" style="66" customWidth="1"/>
    <col min="9" max="9" width="9.12962962962963" style="67"/>
    <col min="10" max="10" width="11.5" style="68" customWidth="1"/>
    <col min="11" max="11" width="9.5" style="69" customWidth="1"/>
    <col min="12" max="12" width="7.12962962962963" style="73" customWidth="1"/>
    <col min="13" max="13" width="10.6296296296296" style="74" customWidth="1"/>
    <col min="14" max="14" width="7.12962962962963" style="75" customWidth="1"/>
    <col min="15" max="15" width="7.87962962962963" style="76" customWidth="1"/>
    <col min="16" max="16" width="13.0740740740741" style="70" customWidth="1"/>
    <col min="17" max="17" width="27.6296296296296" style="70" customWidth="1"/>
    <col min="18" max="18" width="7.78703703703704" style="76" customWidth="1"/>
    <col min="19" max="19" width="6.62962962962963" style="71" customWidth="1"/>
    <col min="20" max="20" width="8.08333333333333" style="71" customWidth="1"/>
    <col min="21" max="22" width="8.08333333333333" style="72" customWidth="1"/>
    <col min="23" max="23" width="40.8796296296296" style="97" customWidth="1"/>
    <col min="24" max="16365" width="9" style="77"/>
    <col min="16366" max="16384" width="9.00925925925926" style="77"/>
  </cols>
  <sheetData>
    <row r="1" ht="54" customHeight="1" spans="6:24">
      <c r="F1" s="78" t="s">
        <v>79</v>
      </c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86"/>
      <c r="T1" s="86"/>
      <c r="U1" s="86"/>
      <c r="V1" s="86"/>
      <c r="W1" s="114"/>
      <c r="X1" s="95"/>
    </row>
    <row r="2" ht="15.6" spans="6:23">
      <c r="F2" s="98" t="s">
        <v>4</v>
      </c>
      <c r="G2" s="99"/>
      <c r="H2" s="99"/>
      <c r="I2" s="99"/>
      <c r="J2" s="99"/>
      <c r="K2" s="103"/>
      <c r="L2" s="104" t="s">
        <v>5</v>
      </c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15"/>
    </row>
    <row r="3" s="95" customFormat="1" ht="62.4" spans="1:23">
      <c r="A3" s="100" t="s">
        <v>6</v>
      </c>
      <c r="B3" s="100" t="s">
        <v>7</v>
      </c>
      <c r="C3" s="100" t="s">
        <v>8</v>
      </c>
      <c r="D3" s="100" t="s">
        <v>9</v>
      </c>
      <c r="E3" s="101" t="s">
        <v>10</v>
      </c>
      <c r="F3" s="80" t="s">
        <v>11</v>
      </c>
      <c r="G3" s="80" t="s">
        <v>12</v>
      </c>
      <c r="H3" s="80" t="s">
        <v>13</v>
      </c>
      <c r="I3" s="81" t="s">
        <v>14</v>
      </c>
      <c r="J3" s="82" t="s">
        <v>15</v>
      </c>
      <c r="K3" s="83" t="s">
        <v>16</v>
      </c>
      <c r="L3" s="105" t="s">
        <v>80</v>
      </c>
      <c r="M3" s="106" t="s">
        <v>81</v>
      </c>
      <c r="N3" s="107" t="s">
        <v>82</v>
      </c>
      <c r="O3" s="108" t="s">
        <v>20</v>
      </c>
      <c r="P3" s="109" t="s">
        <v>83</v>
      </c>
      <c r="Q3" s="116" t="s">
        <v>84</v>
      </c>
      <c r="R3" s="117" t="s">
        <v>23</v>
      </c>
      <c r="S3" s="118" t="s">
        <v>85</v>
      </c>
      <c r="T3" s="119" t="s">
        <v>86</v>
      </c>
      <c r="U3" s="119" t="s">
        <v>87</v>
      </c>
      <c r="V3" s="119" t="s">
        <v>88</v>
      </c>
      <c r="W3" s="120" t="s">
        <v>28</v>
      </c>
    </row>
    <row r="4" ht="15.6" spans="1:23">
      <c r="A4" s="102">
        <v>43685</v>
      </c>
      <c r="B4" s="96" t="s">
        <v>48</v>
      </c>
      <c r="C4" s="96" t="s">
        <v>64</v>
      </c>
      <c r="D4" s="96" t="s">
        <v>65</v>
      </c>
      <c r="E4" s="96">
        <v>4434</v>
      </c>
      <c r="F4" s="44" t="s">
        <v>89</v>
      </c>
      <c r="G4" s="44">
        <v>7</v>
      </c>
      <c r="H4" s="44">
        <v>7</v>
      </c>
      <c r="I4" s="110">
        <v>1</v>
      </c>
      <c r="J4" s="68" t="s">
        <v>48</v>
      </c>
      <c r="K4" s="111">
        <v>0.992</v>
      </c>
      <c r="L4" s="73" t="s">
        <v>33</v>
      </c>
      <c r="M4" s="112">
        <v>0</v>
      </c>
      <c r="N4" s="73" t="s">
        <v>33</v>
      </c>
      <c r="O4" s="73" t="s">
        <v>2</v>
      </c>
      <c r="P4" s="113" t="s">
        <v>90</v>
      </c>
      <c r="Q4" s="121" t="s">
        <v>91</v>
      </c>
      <c r="R4" s="113">
        <v>82</v>
      </c>
      <c r="S4" s="122" t="s">
        <v>1</v>
      </c>
      <c r="T4" s="76" t="s">
        <v>1</v>
      </c>
      <c r="U4" s="76" t="s">
        <v>1</v>
      </c>
      <c r="V4" s="76" t="s">
        <v>1</v>
      </c>
      <c r="W4" s="97" t="s">
        <v>35</v>
      </c>
    </row>
    <row r="5" ht="15.6" spans="1:23">
      <c r="A5" s="102">
        <v>44371</v>
      </c>
      <c r="B5" s="96" t="s">
        <v>29</v>
      </c>
      <c r="C5" s="96" t="s">
        <v>51</v>
      </c>
      <c r="D5" s="96" t="s">
        <v>92</v>
      </c>
      <c r="E5" s="96">
        <v>51697</v>
      </c>
      <c r="F5" s="44" t="s">
        <v>93</v>
      </c>
      <c r="G5" s="44">
        <v>4</v>
      </c>
      <c r="H5" s="44">
        <v>4</v>
      </c>
      <c r="I5" s="110">
        <v>1</v>
      </c>
      <c r="J5" s="68" t="s">
        <v>29</v>
      </c>
      <c r="K5" s="111">
        <v>0.992</v>
      </c>
      <c r="L5" s="73" t="s">
        <v>33</v>
      </c>
      <c r="M5" s="112">
        <v>0</v>
      </c>
      <c r="N5" s="73" t="s">
        <v>33</v>
      </c>
      <c r="O5" s="73" t="s">
        <v>2</v>
      </c>
      <c r="P5" s="113" t="s">
        <v>90</v>
      </c>
      <c r="Q5" s="121" t="s">
        <v>91</v>
      </c>
      <c r="R5" s="113">
        <v>82</v>
      </c>
      <c r="S5" s="122" t="s">
        <v>1</v>
      </c>
      <c r="T5" s="76" t="s">
        <v>1</v>
      </c>
      <c r="U5" s="76" t="s">
        <v>1</v>
      </c>
      <c r="V5" s="76" t="s">
        <v>1</v>
      </c>
      <c r="W5" s="97" t="s">
        <v>35</v>
      </c>
    </row>
    <row r="6" ht="15.6" spans="1:23">
      <c r="A6" s="102">
        <v>43569</v>
      </c>
      <c r="B6" s="96" t="s">
        <v>36</v>
      </c>
      <c r="C6" s="96" t="s">
        <v>36</v>
      </c>
      <c r="D6" s="96" t="s">
        <v>94</v>
      </c>
      <c r="E6" s="96">
        <v>3005</v>
      </c>
      <c r="F6" s="44" t="s">
        <v>95</v>
      </c>
      <c r="G6" s="44">
        <v>2</v>
      </c>
      <c r="H6" s="44">
        <v>2</v>
      </c>
      <c r="I6" s="110">
        <v>1</v>
      </c>
      <c r="J6" s="68" t="s">
        <v>36</v>
      </c>
      <c r="K6" s="111">
        <v>0.992</v>
      </c>
      <c r="L6" s="73" t="s">
        <v>33</v>
      </c>
      <c r="M6" s="112">
        <v>0</v>
      </c>
      <c r="N6" s="73" t="s">
        <v>33</v>
      </c>
      <c r="O6" s="73" t="s">
        <v>2</v>
      </c>
      <c r="P6" s="113" t="s">
        <v>90</v>
      </c>
      <c r="Q6" s="121" t="s">
        <v>91</v>
      </c>
      <c r="R6" s="113">
        <f>S6</f>
        <v>84</v>
      </c>
      <c r="S6" s="122">
        <v>84</v>
      </c>
      <c r="T6" s="76">
        <v>84</v>
      </c>
      <c r="U6" s="76" t="s">
        <v>1</v>
      </c>
      <c r="V6" s="76">
        <v>73</v>
      </c>
      <c r="W6" s="97" t="s">
        <v>35</v>
      </c>
    </row>
    <row r="7" ht="15.6" spans="1:23">
      <c r="A7" s="102">
        <v>45381</v>
      </c>
      <c r="B7" s="96" t="s">
        <v>48</v>
      </c>
      <c r="C7" s="96" t="s">
        <v>64</v>
      </c>
      <c r="D7" s="96" t="s">
        <v>65</v>
      </c>
      <c r="E7" s="96">
        <v>70021</v>
      </c>
      <c r="F7" s="44" t="s">
        <v>96</v>
      </c>
      <c r="G7" s="44">
        <v>8</v>
      </c>
      <c r="H7" s="44">
        <v>7</v>
      </c>
      <c r="I7" s="110">
        <v>0.875</v>
      </c>
      <c r="J7" s="68" t="s">
        <v>48</v>
      </c>
      <c r="K7" s="111">
        <v>0.988</v>
      </c>
      <c r="L7" s="73" t="s">
        <v>33</v>
      </c>
      <c r="M7" s="112">
        <v>2</v>
      </c>
      <c r="N7" s="73" t="s">
        <v>33</v>
      </c>
      <c r="O7" s="73" t="s">
        <v>2</v>
      </c>
      <c r="P7" s="113" t="s">
        <v>90</v>
      </c>
      <c r="Q7" s="121" t="s">
        <v>91</v>
      </c>
      <c r="R7" s="113">
        <f>S7</f>
        <v>86</v>
      </c>
      <c r="S7" s="122">
        <v>86</v>
      </c>
      <c r="T7" s="76">
        <v>76</v>
      </c>
      <c r="U7" s="76">
        <v>78</v>
      </c>
      <c r="V7" s="76">
        <v>86</v>
      </c>
      <c r="W7" s="97" t="s">
        <v>35</v>
      </c>
    </row>
    <row r="8" ht="15.6" spans="1:23">
      <c r="A8" s="102">
        <v>44301</v>
      </c>
      <c r="B8" s="96" t="s">
        <v>29</v>
      </c>
      <c r="C8" s="96" t="s">
        <v>30</v>
      </c>
      <c r="D8" s="96" t="s">
        <v>31</v>
      </c>
      <c r="E8" s="96">
        <v>50219</v>
      </c>
      <c r="F8" s="44" t="s">
        <v>97</v>
      </c>
      <c r="G8" s="44">
        <v>11</v>
      </c>
      <c r="H8" s="44">
        <v>9</v>
      </c>
      <c r="I8" s="110">
        <v>0.818181818181818</v>
      </c>
      <c r="J8" s="68" t="s">
        <v>29</v>
      </c>
      <c r="K8" s="111">
        <v>0.977</v>
      </c>
      <c r="L8" s="73" t="s">
        <v>33</v>
      </c>
      <c r="M8" s="112">
        <v>0</v>
      </c>
      <c r="N8" s="73" t="s">
        <v>33</v>
      </c>
      <c r="O8" s="73" t="s">
        <v>2</v>
      </c>
      <c r="P8" s="113" t="s">
        <v>90</v>
      </c>
      <c r="Q8" s="121" t="s">
        <v>91</v>
      </c>
      <c r="R8" s="113">
        <v>82</v>
      </c>
      <c r="S8" s="122">
        <v>80</v>
      </c>
      <c r="T8" s="76" t="s">
        <v>1</v>
      </c>
      <c r="U8" s="76">
        <v>80</v>
      </c>
      <c r="V8" s="76">
        <v>79.5</v>
      </c>
      <c r="W8" s="97" t="s">
        <v>35</v>
      </c>
    </row>
    <row r="9" ht="15.6" spans="1:23">
      <c r="A9" s="102">
        <v>45437</v>
      </c>
      <c r="B9" s="96" t="s">
        <v>29</v>
      </c>
      <c r="C9" s="96" t="s">
        <v>41</v>
      </c>
      <c r="D9" s="96" t="s">
        <v>98</v>
      </c>
      <c r="E9" s="96">
        <v>70552</v>
      </c>
      <c r="F9" s="44" t="s">
        <v>99</v>
      </c>
      <c r="G9" s="44">
        <v>11</v>
      </c>
      <c r="H9" s="44">
        <v>9</v>
      </c>
      <c r="I9" s="110">
        <v>0.818181818181818</v>
      </c>
      <c r="J9" s="68" t="s">
        <v>29</v>
      </c>
      <c r="K9" s="111">
        <v>0.977</v>
      </c>
      <c r="L9" s="73" t="s">
        <v>33</v>
      </c>
      <c r="M9" s="112">
        <v>0</v>
      </c>
      <c r="N9" s="73" t="s">
        <v>33</v>
      </c>
      <c r="O9" s="73" t="s">
        <v>2</v>
      </c>
      <c r="P9" s="113" t="s">
        <v>90</v>
      </c>
      <c r="Q9" s="121" t="s">
        <v>91</v>
      </c>
      <c r="R9" s="113">
        <v>82</v>
      </c>
      <c r="S9" s="122">
        <v>77</v>
      </c>
      <c r="T9" s="76">
        <v>67</v>
      </c>
      <c r="U9" s="76">
        <v>63</v>
      </c>
      <c r="V9" s="76">
        <v>77</v>
      </c>
      <c r="W9" s="97" t="s">
        <v>35</v>
      </c>
    </row>
    <row r="10" ht="15.6" spans="1:23">
      <c r="A10" s="102">
        <v>44287</v>
      </c>
      <c r="B10" s="96" t="s">
        <v>44</v>
      </c>
      <c r="C10" s="96" t="s">
        <v>67</v>
      </c>
      <c r="D10" s="96" t="s">
        <v>68</v>
      </c>
      <c r="E10" s="96">
        <v>26357</v>
      </c>
      <c r="F10" s="44" t="s">
        <v>69</v>
      </c>
      <c r="G10" s="44">
        <v>33</v>
      </c>
      <c r="H10" s="44">
        <v>27</v>
      </c>
      <c r="I10" s="110">
        <v>0.818181818181818</v>
      </c>
      <c r="J10" s="68" t="s">
        <v>44</v>
      </c>
      <c r="K10" s="111">
        <v>0.977</v>
      </c>
      <c r="L10" s="73" t="s">
        <v>33</v>
      </c>
      <c r="M10" s="112">
        <v>1</v>
      </c>
      <c r="N10" s="73" t="s">
        <v>33</v>
      </c>
      <c r="O10" s="73" t="s">
        <v>2</v>
      </c>
      <c r="P10" s="113" t="s">
        <v>90</v>
      </c>
      <c r="Q10" s="121" t="s">
        <v>91</v>
      </c>
      <c r="R10" s="113">
        <f t="shared" ref="R10:R18" si="0">S10</f>
        <v>85</v>
      </c>
      <c r="S10" s="122">
        <v>85</v>
      </c>
      <c r="T10" s="76">
        <v>85</v>
      </c>
      <c r="U10" s="76">
        <v>85</v>
      </c>
      <c r="V10" s="76">
        <v>84</v>
      </c>
      <c r="W10" s="97" t="s">
        <v>35</v>
      </c>
    </row>
    <row r="11" ht="15.6" spans="1:23">
      <c r="A11" s="102">
        <v>44996</v>
      </c>
      <c r="B11" s="96" t="s">
        <v>29</v>
      </c>
      <c r="C11" s="96" t="s">
        <v>51</v>
      </c>
      <c r="D11" s="96" t="s">
        <v>52</v>
      </c>
      <c r="E11" s="96">
        <v>62763</v>
      </c>
      <c r="F11" s="44" t="s">
        <v>100</v>
      </c>
      <c r="G11" s="44">
        <v>10</v>
      </c>
      <c r="H11" s="44">
        <v>8</v>
      </c>
      <c r="I11" s="110">
        <v>0.8</v>
      </c>
      <c r="J11" s="68" t="s">
        <v>29</v>
      </c>
      <c r="K11" s="111">
        <v>0.973</v>
      </c>
      <c r="L11" s="73" t="s">
        <v>33</v>
      </c>
      <c r="M11" s="112">
        <v>0</v>
      </c>
      <c r="N11" s="73" t="s">
        <v>33</v>
      </c>
      <c r="O11" s="73" t="s">
        <v>2</v>
      </c>
      <c r="P11" s="113" t="s">
        <v>90</v>
      </c>
      <c r="Q11" s="121" t="s">
        <v>91</v>
      </c>
      <c r="R11" s="113">
        <f t="shared" si="0"/>
        <v>82</v>
      </c>
      <c r="S11" s="122">
        <v>82</v>
      </c>
      <c r="T11" s="76">
        <v>82</v>
      </c>
      <c r="U11" s="76" t="s">
        <v>1</v>
      </c>
      <c r="V11" s="76">
        <v>82</v>
      </c>
      <c r="W11" s="97" t="s">
        <v>35</v>
      </c>
    </row>
    <row r="12" ht="15.6" spans="1:23">
      <c r="A12" s="102">
        <v>43665</v>
      </c>
      <c r="B12" s="96" t="s">
        <v>48</v>
      </c>
      <c r="C12" s="96" t="s">
        <v>64</v>
      </c>
      <c r="D12" s="96" t="s">
        <v>75</v>
      </c>
      <c r="E12" s="96">
        <v>4086</v>
      </c>
      <c r="F12" s="44" t="s">
        <v>101</v>
      </c>
      <c r="G12" s="44">
        <v>9</v>
      </c>
      <c r="H12" s="44">
        <v>7</v>
      </c>
      <c r="I12" s="110">
        <v>0.777777777777778</v>
      </c>
      <c r="J12" s="68" t="s">
        <v>48</v>
      </c>
      <c r="K12" s="111">
        <v>0.969</v>
      </c>
      <c r="L12" s="73" t="s">
        <v>33</v>
      </c>
      <c r="M12" s="112">
        <v>0</v>
      </c>
      <c r="N12" s="73" t="s">
        <v>33</v>
      </c>
      <c r="O12" s="73" t="s">
        <v>2</v>
      </c>
      <c r="P12" s="113" t="s">
        <v>90</v>
      </c>
      <c r="Q12" s="121" t="s">
        <v>91</v>
      </c>
      <c r="R12" s="113">
        <f t="shared" si="0"/>
        <v>82</v>
      </c>
      <c r="S12" s="122">
        <v>82</v>
      </c>
      <c r="T12" s="76">
        <v>82</v>
      </c>
      <c r="U12" s="76">
        <v>82</v>
      </c>
      <c r="V12" s="76">
        <v>78</v>
      </c>
      <c r="W12" s="97" t="s">
        <v>35</v>
      </c>
    </row>
    <row r="13" ht="15.6" spans="1:23">
      <c r="A13" s="102">
        <v>44328</v>
      </c>
      <c r="B13" s="96" t="s">
        <v>29</v>
      </c>
      <c r="C13" s="96" t="s">
        <v>30</v>
      </c>
      <c r="D13" s="96" t="s">
        <v>31</v>
      </c>
      <c r="E13" s="96">
        <v>51061</v>
      </c>
      <c r="F13" s="44" t="s">
        <v>32</v>
      </c>
      <c r="G13" s="44">
        <v>13</v>
      </c>
      <c r="H13" s="44">
        <v>10</v>
      </c>
      <c r="I13" s="110">
        <v>0.769230769230769</v>
      </c>
      <c r="J13" s="68" t="s">
        <v>29</v>
      </c>
      <c r="K13" s="111">
        <v>0.965</v>
      </c>
      <c r="L13" s="73" t="s">
        <v>33</v>
      </c>
      <c r="M13" s="112">
        <v>2</v>
      </c>
      <c r="N13" s="73" t="s">
        <v>33</v>
      </c>
      <c r="O13" s="73" t="s">
        <v>2</v>
      </c>
      <c r="P13" s="113" t="s">
        <v>90</v>
      </c>
      <c r="Q13" s="121" t="s">
        <v>91</v>
      </c>
      <c r="R13" s="113">
        <f t="shared" si="0"/>
        <v>91</v>
      </c>
      <c r="S13" s="122">
        <v>91</v>
      </c>
      <c r="T13" s="76">
        <v>91</v>
      </c>
      <c r="U13" s="76">
        <v>87</v>
      </c>
      <c r="V13" s="76">
        <v>84</v>
      </c>
      <c r="W13" s="97" t="s">
        <v>35</v>
      </c>
    </row>
    <row r="14" ht="15.6" spans="1:23">
      <c r="A14" s="102">
        <v>43973</v>
      </c>
      <c r="B14" s="96" t="s">
        <v>44</v>
      </c>
      <c r="C14" s="96" t="s">
        <v>45</v>
      </c>
      <c r="D14" s="96" t="s">
        <v>102</v>
      </c>
      <c r="E14" s="96">
        <v>20945</v>
      </c>
      <c r="F14" s="44" t="s">
        <v>103</v>
      </c>
      <c r="G14" s="44">
        <v>4</v>
      </c>
      <c r="H14" s="44">
        <v>3</v>
      </c>
      <c r="I14" s="110">
        <v>0.75</v>
      </c>
      <c r="J14" s="68" t="s">
        <v>44</v>
      </c>
      <c r="K14" s="111">
        <v>0.958</v>
      </c>
      <c r="L14" s="73" t="s">
        <v>33</v>
      </c>
      <c r="M14" s="112">
        <v>0</v>
      </c>
      <c r="N14" s="73" t="s">
        <v>33</v>
      </c>
      <c r="O14" s="73" t="s">
        <v>2</v>
      </c>
      <c r="P14" s="113" t="s">
        <v>90</v>
      </c>
      <c r="Q14" s="121" t="s">
        <v>91</v>
      </c>
      <c r="R14" s="113">
        <f t="shared" si="0"/>
        <v>82</v>
      </c>
      <c r="S14" s="122">
        <v>82</v>
      </c>
      <c r="T14" s="76">
        <v>82</v>
      </c>
      <c r="U14" s="76" t="s">
        <v>1</v>
      </c>
      <c r="V14" s="76" t="s">
        <v>1</v>
      </c>
      <c r="W14" s="97" t="s">
        <v>35</v>
      </c>
    </row>
    <row r="15" ht="15.6" spans="1:23">
      <c r="A15" s="102">
        <v>43628</v>
      </c>
      <c r="B15" s="96" t="s">
        <v>36</v>
      </c>
      <c r="C15" s="96" t="s">
        <v>36</v>
      </c>
      <c r="D15" s="96" t="s">
        <v>94</v>
      </c>
      <c r="E15" s="96">
        <v>3492</v>
      </c>
      <c r="F15" s="44" t="s">
        <v>104</v>
      </c>
      <c r="G15" s="44">
        <v>4</v>
      </c>
      <c r="H15" s="44">
        <v>3</v>
      </c>
      <c r="I15" s="110">
        <v>0.75</v>
      </c>
      <c r="J15" s="68" t="s">
        <v>36</v>
      </c>
      <c r="K15" s="111">
        <v>0.958</v>
      </c>
      <c r="L15" s="73" t="s">
        <v>33</v>
      </c>
      <c r="M15" s="112">
        <v>0</v>
      </c>
      <c r="N15" s="73" t="s">
        <v>33</v>
      </c>
      <c r="O15" s="73" t="s">
        <v>2</v>
      </c>
      <c r="P15" s="113" t="s">
        <v>90</v>
      </c>
      <c r="Q15" s="121" t="s">
        <v>91</v>
      </c>
      <c r="R15" s="113">
        <f t="shared" si="0"/>
        <v>82</v>
      </c>
      <c r="S15" s="122">
        <v>82</v>
      </c>
      <c r="T15" s="76">
        <v>62</v>
      </c>
      <c r="U15" s="76">
        <v>67</v>
      </c>
      <c r="V15" s="76">
        <v>82</v>
      </c>
      <c r="W15" s="97" t="s">
        <v>35</v>
      </c>
    </row>
    <row r="16" ht="15.6" spans="1:23">
      <c r="A16" s="102">
        <v>43761</v>
      </c>
      <c r="B16" s="96" t="s">
        <v>48</v>
      </c>
      <c r="C16" s="96" t="s">
        <v>64</v>
      </c>
      <c r="D16" s="96" t="s">
        <v>65</v>
      </c>
      <c r="E16" s="96">
        <v>3820</v>
      </c>
      <c r="F16" s="44" t="s">
        <v>70</v>
      </c>
      <c r="G16" s="44">
        <v>19</v>
      </c>
      <c r="H16" s="44">
        <v>14</v>
      </c>
      <c r="I16" s="110">
        <v>0.736842105263158</v>
      </c>
      <c r="J16" s="68" t="s">
        <v>48</v>
      </c>
      <c r="K16" s="111">
        <v>0.95</v>
      </c>
      <c r="L16" s="73" t="s">
        <v>33</v>
      </c>
      <c r="M16" s="112">
        <v>0</v>
      </c>
      <c r="N16" s="73" t="s">
        <v>33</v>
      </c>
      <c r="O16" s="73" t="s">
        <v>2</v>
      </c>
      <c r="P16" s="113" t="s">
        <v>90</v>
      </c>
      <c r="Q16" s="121" t="s">
        <v>91</v>
      </c>
      <c r="R16" s="113">
        <f t="shared" si="0"/>
        <v>82</v>
      </c>
      <c r="S16" s="122">
        <v>82</v>
      </c>
      <c r="T16" s="76">
        <v>82</v>
      </c>
      <c r="U16" s="76">
        <v>82</v>
      </c>
      <c r="V16" s="76">
        <v>74</v>
      </c>
      <c r="W16" s="97" t="s">
        <v>35</v>
      </c>
    </row>
    <row r="17" ht="15.6" spans="1:23">
      <c r="A17" s="102">
        <v>44827</v>
      </c>
      <c r="B17" s="96" t="s">
        <v>44</v>
      </c>
      <c r="C17" s="96" t="s">
        <v>67</v>
      </c>
      <c r="D17" s="96" t="s">
        <v>105</v>
      </c>
      <c r="E17" s="96">
        <v>22650</v>
      </c>
      <c r="F17" s="44" t="s">
        <v>106</v>
      </c>
      <c r="G17" s="44">
        <v>19</v>
      </c>
      <c r="H17" s="44">
        <v>14</v>
      </c>
      <c r="I17" s="110">
        <v>0.736842105263158</v>
      </c>
      <c r="J17" s="68" t="s">
        <v>44</v>
      </c>
      <c r="K17" s="111">
        <v>0.95</v>
      </c>
      <c r="L17" s="73" t="s">
        <v>33</v>
      </c>
      <c r="M17" s="112">
        <v>0</v>
      </c>
      <c r="N17" s="73" t="s">
        <v>33</v>
      </c>
      <c r="O17" s="73" t="s">
        <v>2</v>
      </c>
      <c r="P17" s="113" t="s">
        <v>90</v>
      </c>
      <c r="Q17" s="121" t="s">
        <v>91</v>
      </c>
      <c r="R17" s="113">
        <f t="shared" si="0"/>
        <v>83</v>
      </c>
      <c r="S17" s="122">
        <v>83</v>
      </c>
      <c r="T17" s="76">
        <v>69</v>
      </c>
      <c r="U17" s="76">
        <v>67</v>
      </c>
      <c r="V17" s="76">
        <v>83</v>
      </c>
      <c r="W17" s="97" t="s">
        <v>35</v>
      </c>
    </row>
    <row r="18" ht="15.6" spans="1:23">
      <c r="A18" s="102">
        <v>43746</v>
      </c>
      <c r="B18" s="96" t="s">
        <v>44</v>
      </c>
      <c r="C18" s="96" t="s">
        <v>45</v>
      </c>
      <c r="D18" s="96" t="s">
        <v>72</v>
      </c>
      <c r="E18" s="96">
        <v>4991</v>
      </c>
      <c r="F18" s="44" t="s">
        <v>107</v>
      </c>
      <c r="G18" s="44">
        <v>14</v>
      </c>
      <c r="H18" s="44">
        <v>10</v>
      </c>
      <c r="I18" s="110">
        <v>0.714285714285714</v>
      </c>
      <c r="J18" s="68" t="s">
        <v>44</v>
      </c>
      <c r="K18" s="111">
        <v>0.946</v>
      </c>
      <c r="L18" s="73" t="s">
        <v>33</v>
      </c>
      <c r="M18" s="112">
        <v>1</v>
      </c>
      <c r="N18" s="73" t="s">
        <v>33</v>
      </c>
      <c r="O18" s="73" t="s">
        <v>2</v>
      </c>
      <c r="P18" s="113" t="s">
        <v>90</v>
      </c>
      <c r="Q18" s="121" t="s">
        <v>91</v>
      </c>
      <c r="R18" s="113">
        <f t="shared" si="0"/>
        <v>82</v>
      </c>
      <c r="S18" s="122">
        <v>82</v>
      </c>
      <c r="T18" s="76">
        <v>77</v>
      </c>
      <c r="U18" s="76">
        <v>80</v>
      </c>
      <c r="V18" s="76">
        <v>82</v>
      </c>
      <c r="W18" s="97" t="s">
        <v>35</v>
      </c>
    </row>
    <row r="19" ht="15.6" spans="1:23">
      <c r="A19" s="102">
        <v>43939</v>
      </c>
      <c r="B19" s="96" t="s">
        <v>48</v>
      </c>
      <c r="C19" s="96" t="s">
        <v>64</v>
      </c>
      <c r="D19" s="96" t="s">
        <v>108</v>
      </c>
      <c r="E19" s="96">
        <v>20326</v>
      </c>
      <c r="F19" s="44" t="s">
        <v>109</v>
      </c>
      <c r="G19" s="44">
        <v>24</v>
      </c>
      <c r="H19" s="44">
        <v>17</v>
      </c>
      <c r="I19" s="110">
        <v>0.708333333333333</v>
      </c>
      <c r="J19" s="68" t="s">
        <v>48</v>
      </c>
      <c r="K19" s="111">
        <v>0.942</v>
      </c>
      <c r="L19" s="73" t="s">
        <v>33</v>
      </c>
      <c r="M19" s="112">
        <v>1</v>
      </c>
      <c r="N19" s="73" t="s">
        <v>33</v>
      </c>
      <c r="O19" s="73" t="s">
        <v>2</v>
      </c>
      <c r="P19" s="113" t="s">
        <v>90</v>
      </c>
      <c r="Q19" s="121" t="s">
        <v>91</v>
      </c>
      <c r="R19" s="113">
        <v>82</v>
      </c>
      <c r="S19" s="122">
        <v>77</v>
      </c>
      <c r="T19" s="76">
        <v>77</v>
      </c>
      <c r="U19" s="76">
        <v>76</v>
      </c>
      <c r="V19" s="76">
        <v>74</v>
      </c>
      <c r="W19" s="97" t="s">
        <v>35</v>
      </c>
    </row>
    <row r="20" ht="15.6" spans="1:23">
      <c r="A20" s="102">
        <v>44147</v>
      </c>
      <c r="B20" s="96" t="s">
        <v>48</v>
      </c>
      <c r="C20" s="96" t="s">
        <v>49</v>
      </c>
      <c r="D20" s="96" t="s">
        <v>58</v>
      </c>
      <c r="E20" s="96">
        <v>23664</v>
      </c>
      <c r="F20" s="44" t="s">
        <v>110</v>
      </c>
      <c r="G20" s="44">
        <v>13</v>
      </c>
      <c r="H20" s="44">
        <v>9</v>
      </c>
      <c r="I20" s="110">
        <v>0.692307692307692</v>
      </c>
      <c r="J20" s="68" t="s">
        <v>48</v>
      </c>
      <c r="K20" s="111">
        <v>0.935</v>
      </c>
      <c r="L20" s="73" t="s">
        <v>33</v>
      </c>
      <c r="M20" s="112">
        <v>1</v>
      </c>
      <c r="N20" s="73" t="s">
        <v>33</v>
      </c>
      <c r="O20" s="73" t="s">
        <v>2</v>
      </c>
      <c r="P20" s="113" t="s">
        <v>90</v>
      </c>
      <c r="Q20" s="121" t="s">
        <v>91</v>
      </c>
      <c r="R20" s="113">
        <f>S20</f>
        <v>93</v>
      </c>
      <c r="S20" s="122">
        <v>93</v>
      </c>
      <c r="T20" s="76">
        <v>93</v>
      </c>
      <c r="U20" s="76">
        <v>83</v>
      </c>
      <c r="V20" s="76">
        <v>85</v>
      </c>
      <c r="W20" s="97" t="s">
        <v>35</v>
      </c>
    </row>
    <row r="21" ht="15.6" spans="1:23">
      <c r="A21" s="102">
        <v>44174</v>
      </c>
      <c r="B21" s="96" t="s">
        <v>44</v>
      </c>
      <c r="C21" s="96" t="s">
        <v>45</v>
      </c>
      <c r="D21" s="96" t="s">
        <v>111</v>
      </c>
      <c r="E21" s="96">
        <v>24674</v>
      </c>
      <c r="F21" s="44" t="s">
        <v>112</v>
      </c>
      <c r="G21" s="44">
        <v>13</v>
      </c>
      <c r="H21" s="44">
        <v>9</v>
      </c>
      <c r="I21" s="110">
        <v>0.692307692307692</v>
      </c>
      <c r="J21" s="68" t="s">
        <v>44</v>
      </c>
      <c r="K21" s="111">
        <v>0.935</v>
      </c>
      <c r="L21" s="73" t="s">
        <v>33</v>
      </c>
      <c r="M21" s="112">
        <v>2</v>
      </c>
      <c r="N21" s="73" t="s">
        <v>33</v>
      </c>
      <c r="O21" s="73" t="s">
        <v>2</v>
      </c>
      <c r="P21" s="113" t="s">
        <v>90</v>
      </c>
      <c r="Q21" s="121" t="s">
        <v>91</v>
      </c>
      <c r="R21" s="113">
        <f>S21</f>
        <v>87</v>
      </c>
      <c r="S21" s="122">
        <v>87</v>
      </c>
      <c r="T21" s="76">
        <v>87</v>
      </c>
      <c r="U21" s="76">
        <v>74</v>
      </c>
      <c r="V21" s="76">
        <v>82</v>
      </c>
      <c r="W21" s="97" t="s">
        <v>35</v>
      </c>
    </row>
    <row r="22" ht="15.6" spans="1:23">
      <c r="A22" s="102">
        <v>44322</v>
      </c>
      <c r="B22" s="96" t="s">
        <v>44</v>
      </c>
      <c r="C22" s="96" t="s">
        <v>45</v>
      </c>
      <c r="D22" s="96" t="s">
        <v>46</v>
      </c>
      <c r="E22" s="96">
        <v>50879</v>
      </c>
      <c r="F22" s="44" t="s">
        <v>113</v>
      </c>
      <c r="G22" s="44">
        <v>16</v>
      </c>
      <c r="H22" s="44">
        <v>11</v>
      </c>
      <c r="I22" s="110">
        <v>0.6875</v>
      </c>
      <c r="J22" s="68" t="s">
        <v>44</v>
      </c>
      <c r="K22" s="111">
        <v>0.931</v>
      </c>
      <c r="L22" s="73" t="s">
        <v>33</v>
      </c>
      <c r="M22" s="112">
        <v>2</v>
      </c>
      <c r="N22" s="73" t="s">
        <v>33</v>
      </c>
      <c r="O22" s="73" t="s">
        <v>2</v>
      </c>
      <c r="P22" s="113" t="s">
        <v>90</v>
      </c>
      <c r="Q22" s="121" t="s">
        <v>91</v>
      </c>
      <c r="R22" s="113">
        <v>82</v>
      </c>
      <c r="S22" s="122">
        <v>78</v>
      </c>
      <c r="T22" s="76">
        <v>76</v>
      </c>
      <c r="U22" s="76">
        <v>75</v>
      </c>
      <c r="V22" s="76">
        <v>78</v>
      </c>
      <c r="W22" s="97" t="s">
        <v>35</v>
      </c>
    </row>
    <row r="23" ht="15.6" spans="1:23">
      <c r="A23" s="102">
        <v>43713</v>
      </c>
      <c r="B23" s="96" t="s">
        <v>48</v>
      </c>
      <c r="C23" s="96" t="s">
        <v>49</v>
      </c>
      <c r="D23" s="96" t="s">
        <v>54</v>
      </c>
      <c r="E23" s="96">
        <v>4612</v>
      </c>
      <c r="F23" s="44" t="s">
        <v>114</v>
      </c>
      <c r="G23" s="44">
        <v>24</v>
      </c>
      <c r="H23" s="44">
        <v>16</v>
      </c>
      <c r="I23" s="110">
        <v>0.666666666666667</v>
      </c>
      <c r="J23" s="68" t="s">
        <v>48</v>
      </c>
      <c r="K23" s="111">
        <v>0.901</v>
      </c>
      <c r="L23" s="73" t="s">
        <v>33</v>
      </c>
      <c r="M23" s="112">
        <v>0</v>
      </c>
      <c r="N23" s="73" t="s">
        <v>33</v>
      </c>
      <c r="O23" s="73" t="s">
        <v>2</v>
      </c>
      <c r="P23" s="113" t="s">
        <v>90</v>
      </c>
      <c r="Q23" s="121" t="s">
        <v>91</v>
      </c>
      <c r="R23" s="113">
        <v>82</v>
      </c>
      <c r="S23" s="122">
        <v>80</v>
      </c>
      <c r="T23" s="76">
        <v>75.5</v>
      </c>
      <c r="U23" s="76">
        <v>76</v>
      </c>
      <c r="V23" s="76">
        <v>80</v>
      </c>
      <c r="W23" s="97" t="s">
        <v>35</v>
      </c>
    </row>
    <row r="24" ht="15.6" spans="1:23">
      <c r="A24" s="102">
        <v>44371</v>
      </c>
      <c r="B24" s="96" t="s">
        <v>29</v>
      </c>
      <c r="C24" s="96" t="s">
        <v>51</v>
      </c>
      <c r="D24" s="96" t="s">
        <v>92</v>
      </c>
      <c r="E24" s="96">
        <v>51699</v>
      </c>
      <c r="F24" s="44" t="s">
        <v>115</v>
      </c>
      <c r="G24" s="44">
        <v>24</v>
      </c>
      <c r="H24" s="44">
        <v>16</v>
      </c>
      <c r="I24" s="110">
        <v>0.666666666666667</v>
      </c>
      <c r="J24" s="68" t="s">
        <v>29</v>
      </c>
      <c r="K24" s="111">
        <v>0.901</v>
      </c>
      <c r="L24" s="73" t="s">
        <v>33</v>
      </c>
      <c r="M24" s="112">
        <v>1</v>
      </c>
      <c r="N24" s="73" t="s">
        <v>33</v>
      </c>
      <c r="O24" s="73" t="s">
        <v>2</v>
      </c>
      <c r="P24" s="113" t="s">
        <v>90</v>
      </c>
      <c r="Q24" s="121" t="s">
        <v>91</v>
      </c>
      <c r="R24" s="113">
        <f t="shared" ref="R24:R29" si="1">S24</f>
        <v>83</v>
      </c>
      <c r="S24" s="122">
        <v>83</v>
      </c>
      <c r="T24" s="76">
        <v>83</v>
      </c>
      <c r="U24" s="76">
        <v>82</v>
      </c>
      <c r="V24" s="76">
        <v>78</v>
      </c>
      <c r="W24" s="97" t="s">
        <v>35</v>
      </c>
    </row>
    <row r="25" ht="15.6" spans="1:23">
      <c r="A25" s="102">
        <v>44322</v>
      </c>
      <c r="B25" s="96" t="s">
        <v>29</v>
      </c>
      <c r="C25" s="96" t="s">
        <v>30</v>
      </c>
      <c r="D25" s="96" t="s">
        <v>31</v>
      </c>
      <c r="E25" s="96">
        <v>50861</v>
      </c>
      <c r="F25" s="44" t="s">
        <v>116</v>
      </c>
      <c r="G25" s="44">
        <v>18</v>
      </c>
      <c r="H25" s="44">
        <v>12</v>
      </c>
      <c r="I25" s="110">
        <v>0.666666666666667</v>
      </c>
      <c r="J25" s="68" t="s">
        <v>29</v>
      </c>
      <c r="K25" s="111">
        <v>0.901</v>
      </c>
      <c r="L25" s="73" t="s">
        <v>33</v>
      </c>
      <c r="M25" s="112">
        <v>2</v>
      </c>
      <c r="N25" s="73" t="s">
        <v>33</v>
      </c>
      <c r="O25" s="73" t="s">
        <v>2</v>
      </c>
      <c r="P25" s="113" t="s">
        <v>90</v>
      </c>
      <c r="Q25" s="121" t="s">
        <v>91</v>
      </c>
      <c r="R25" s="113">
        <f t="shared" si="1"/>
        <v>85</v>
      </c>
      <c r="S25" s="122">
        <v>85</v>
      </c>
      <c r="T25" s="76">
        <v>80.5</v>
      </c>
      <c r="U25" s="76">
        <v>85</v>
      </c>
      <c r="V25" s="76">
        <v>80</v>
      </c>
      <c r="W25" s="97" t="s">
        <v>35</v>
      </c>
    </row>
    <row r="26" ht="15.6" spans="1:23">
      <c r="A26" s="102">
        <v>43281</v>
      </c>
      <c r="B26" s="96" t="s">
        <v>29</v>
      </c>
      <c r="C26" s="96" t="s">
        <v>41</v>
      </c>
      <c r="D26" s="96" t="s">
        <v>1</v>
      </c>
      <c r="E26" s="96">
        <v>1077</v>
      </c>
      <c r="F26" s="44" t="s">
        <v>117</v>
      </c>
      <c r="G26" s="44">
        <v>3</v>
      </c>
      <c r="H26" s="44">
        <v>2</v>
      </c>
      <c r="I26" s="110">
        <v>0.666666666666667</v>
      </c>
      <c r="J26" s="68" t="s">
        <v>29</v>
      </c>
      <c r="K26" s="111">
        <v>0.901</v>
      </c>
      <c r="L26" s="73" t="s">
        <v>33</v>
      </c>
      <c r="M26" s="112">
        <v>0</v>
      </c>
      <c r="N26" s="73" t="s">
        <v>33</v>
      </c>
      <c r="O26" s="73" t="s">
        <v>2</v>
      </c>
      <c r="P26" s="113" t="s">
        <v>90</v>
      </c>
      <c r="Q26" s="121" t="s">
        <v>91</v>
      </c>
      <c r="R26" s="113">
        <f t="shared" si="1"/>
        <v>84</v>
      </c>
      <c r="S26" s="122">
        <v>84</v>
      </c>
      <c r="T26" s="76">
        <v>84</v>
      </c>
      <c r="U26" s="76">
        <v>84</v>
      </c>
      <c r="V26" s="76">
        <v>74</v>
      </c>
      <c r="W26" s="97" t="s">
        <v>35</v>
      </c>
    </row>
    <row r="27" ht="15.6" spans="1:23">
      <c r="A27" s="102">
        <v>44301</v>
      </c>
      <c r="B27" s="96" t="s">
        <v>44</v>
      </c>
      <c r="C27" s="96" t="s">
        <v>45</v>
      </c>
      <c r="D27" s="96" t="s">
        <v>46</v>
      </c>
      <c r="E27" s="96">
        <v>50277</v>
      </c>
      <c r="F27" s="44" t="s">
        <v>118</v>
      </c>
      <c r="G27" s="44">
        <v>33</v>
      </c>
      <c r="H27" s="44">
        <v>22</v>
      </c>
      <c r="I27" s="110">
        <v>0.666666666666667</v>
      </c>
      <c r="J27" s="68" t="s">
        <v>44</v>
      </c>
      <c r="K27" s="111">
        <v>0.901</v>
      </c>
      <c r="L27" s="73" t="s">
        <v>33</v>
      </c>
      <c r="M27" s="112">
        <v>1</v>
      </c>
      <c r="N27" s="73" t="s">
        <v>33</v>
      </c>
      <c r="O27" s="73" t="s">
        <v>2</v>
      </c>
      <c r="P27" s="113" t="s">
        <v>90</v>
      </c>
      <c r="Q27" s="121" t="s">
        <v>91</v>
      </c>
      <c r="R27" s="113">
        <f t="shared" si="1"/>
        <v>90</v>
      </c>
      <c r="S27" s="122">
        <v>90</v>
      </c>
      <c r="T27" s="76">
        <v>90</v>
      </c>
      <c r="U27" s="76">
        <v>90</v>
      </c>
      <c r="V27" s="76">
        <v>85</v>
      </c>
      <c r="W27" s="97" t="s">
        <v>35</v>
      </c>
    </row>
    <row r="28" ht="15.6" spans="1:23">
      <c r="A28" s="102">
        <v>44287</v>
      </c>
      <c r="B28" s="96" t="s">
        <v>44</v>
      </c>
      <c r="C28" s="96" t="s">
        <v>45</v>
      </c>
      <c r="D28" s="96" t="s">
        <v>46</v>
      </c>
      <c r="E28" s="96">
        <v>26349</v>
      </c>
      <c r="F28" s="44" t="s">
        <v>119</v>
      </c>
      <c r="G28" s="44">
        <v>21</v>
      </c>
      <c r="H28" s="44">
        <v>14</v>
      </c>
      <c r="I28" s="110">
        <v>0.666666666666667</v>
      </c>
      <c r="J28" s="68" t="s">
        <v>44</v>
      </c>
      <c r="K28" s="111">
        <v>0.901</v>
      </c>
      <c r="L28" s="73" t="s">
        <v>33</v>
      </c>
      <c r="M28" s="112">
        <v>0</v>
      </c>
      <c r="N28" s="73" t="s">
        <v>33</v>
      </c>
      <c r="O28" s="73" t="s">
        <v>2</v>
      </c>
      <c r="P28" s="113" t="s">
        <v>90</v>
      </c>
      <c r="Q28" s="121" t="s">
        <v>91</v>
      </c>
      <c r="R28" s="113">
        <f t="shared" si="1"/>
        <v>92</v>
      </c>
      <c r="S28" s="122">
        <v>92</v>
      </c>
      <c r="T28" s="76">
        <v>92</v>
      </c>
      <c r="U28" s="76">
        <v>83</v>
      </c>
      <c r="V28" s="76">
        <v>78</v>
      </c>
      <c r="W28" s="97" t="s">
        <v>35</v>
      </c>
    </row>
    <row r="29" ht="15.6" spans="1:23">
      <c r="A29" s="102">
        <v>44322</v>
      </c>
      <c r="B29" s="96" t="s">
        <v>44</v>
      </c>
      <c r="C29" s="96" t="s">
        <v>45</v>
      </c>
      <c r="D29" s="96" t="s">
        <v>102</v>
      </c>
      <c r="E29" s="96">
        <v>50889</v>
      </c>
      <c r="F29" s="44" t="s">
        <v>120</v>
      </c>
      <c r="G29" s="44">
        <v>24</v>
      </c>
      <c r="H29" s="44">
        <v>16</v>
      </c>
      <c r="I29" s="110">
        <v>0.666666666666667</v>
      </c>
      <c r="J29" s="68" t="s">
        <v>44</v>
      </c>
      <c r="K29" s="111">
        <v>0.901</v>
      </c>
      <c r="L29" s="73" t="s">
        <v>33</v>
      </c>
      <c r="M29" s="112">
        <v>2</v>
      </c>
      <c r="N29" s="73" t="s">
        <v>33</v>
      </c>
      <c r="O29" s="73" t="s">
        <v>2</v>
      </c>
      <c r="P29" s="113" t="s">
        <v>90</v>
      </c>
      <c r="Q29" s="121" t="s">
        <v>91</v>
      </c>
      <c r="R29" s="113">
        <f t="shared" si="1"/>
        <v>88</v>
      </c>
      <c r="S29" s="122">
        <v>88</v>
      </c>
      <c r="T29" s="76">
        <v>69.5</v>
      </c>
      <c r="U29" s="76">
        <v>84</v>
      </c>
      <c r="V29" s="76">
        <v>88</v>
      </c>
      <c r="W29" s="97" t="s">
        <v>35</v>
      </c>
    </row>
    <row r="30" ht="15.6" spans="1:23">
      <c r="A30" s="102">
        <v>44981</v>
      </c>
      <c r="B30" s="96" t="s">
        <v>36</v>
      </c>
      <c r="C30" s="96" t="s">
        <v>36</v>
      </c>
      <c r="D30" s="96" t="s">
        <v>37</v>
      </c>
      <c r="E30" s="96">
        <v>62619</v>
      </c>
      <c r="F30" s="44" t="s">
        <v>121</v>
      </c>
      <c r="G30" s="44">
        <v>3</v>
      </c>
      <c r="H30" s="44">
        <v>2</v>
      </c>
      <c r="I30" s="110">
        <v>0.666666666666667</v>
      </c>
      <c r="J30" s="68" t="s">
        <v>36</v>
      </c>
      <c r="K30" s="111">
        <v>0.901</v>
      </c>
      <c r="L30" s="73" t="s">
        <v>122</v>
      </c>
      <c r="M30" s="112">
        <v>0</v>
      </c>
      <c r="N30" s="73" t="s">
        <v>33</v>
      </c>
      <c r="O30" s="73" t="s">
        <v>2</v>
      </c>
      <c r="P30" s="113" t="s">
        <v>90</v>
      </c>
      <c r="Q30" s="123" t="s">
        <v>123</v>
      </c>
      <c r="R30" s="113">
        <v>82</v>
      </c>
      <c r="S30" s="122">
        <v>76</v>
      </c>
      <c r="T30" s="76">
        <v>68.5</v>
      </c>
      <c r="U30" s="76">
        <v>76</v>
      </c>
      <c r="V30" s="76">
        <v>67</v>
      </c>
      <c r="W30" s="97" t="s">
        <v>35</v>
      </c>
    </row>
  </sheetData>
  <autoFilter ref="A3:X30">
    <sortState ref="A3:X30">
      <sortCondition ref="O3:O316"/>
    </sortState>
    <extLst/>
  </autoFilter>
  <mergeCells count="3">
    <mergeCell ref="F1:W1"/>
    <mergeCell ref="F2:K2"/>
    <mergeCell ref="L2:W2"/>
  </mergeCells>
  <conditionalFormatting sqref="F3">
    <cfRule type="duplicateValues" dxfId="5" priority="105"/>
  </conditionalFormatting>
  <conditionalFormatting sqref="I3">
    <cfRule type="cellIs" dxfId="3" priority="106" operator="greaterThan">
      <formula>0.4</formula>
    </cfRule>
  </conditionalFormatting>
  <conditionalFormatting sqref="N3">
    <cfRule type="cellIs" dxfId="4" priority="103" operator="equal">
      <formula>"有"</formula>
    </cfRule>
  </conditionalFormatting>
  <conditionalFormatting sqref="O3">
    <cfRule type="containsText" dxfId="0" priority="102" operator="between" text="是">
      <formula>NOT(ISERROR(SEARCH("是",O3)))</formula>
    </cfRule>
  </conditionalFormatting>
  <conditionalFormatting sqref="L2:L3">
    <cfRule type="containsText" dxfId="0" priority="104" operator="between" text="有">
      <formula>NOT(ISERROR(SEARCH("有",L2)))</formula>
    </cfRule>
  </conditionalFormatting>
  <conditionalFormatting sqref="M4:M30">
    <cfRule type="cellIs" dxfId="4" priority="1" operator="greaterThan">
      <formula>2</formula>
    </cfRule>
  </conditionalFormatting>
  <conditionalFormatting sqref="M31:M1048576">
    <cfRule type="cellIs" dxfId="4" priority="99" operator="greaterThan">
      <formula>2</formula>
    </cfRule>
  </conditionalFormatting>
  <conditionalFormatting sqref="W4:W21">
    <cfRule type="containsText" dxfId="2" priority="85" operator="between" text="前">
      <formula>NOT(ISERROR(SEARCH("前",W4)))</formula>
    </cfRule>
    <cfRule type="containsText" dxfId="1" priority="84" operator="between" text="后">
      <formula>NOT(ISERROR(SEARCH("后",W4)))</formula>
    </cfRule>
    <cfRule type="containsText" dxfId="0" priority="83" operator="between" text="不参与">
      <formula>NOT(ISERROR(SEARCH("不参与",W4)))</formula>
    </cfRule>
  </conditionalFormatting>
  <conditionalFormatting sqref="W22:W30">
    <cfRule type="containsText" dxfId="2" priority="4" operator="between" text="前">
      <formula>NOT(ISERROR(SEARCH("前",W22)))</formula>
    </cfRule>
    <cfRule type="containsText" dxfId="1" priority="3" operator="between" text="后">
      <formula>NOT(ISERROR(SEARCH("后",W22)))</formula>
    </cfRule>
    <cfRule type="containsText" dxfId="0" priority="2" operator="between" text="不参与">
      <formula>NOT(ISERROR(SEARCH("不参与",W22)))</formula>
    </cfRule>
  </conditionalFormatting>
  <conditionalFormatting sqref="K1:K2 K4:K1048576">
    <cfRule type="cellIs" dxfId="3" priority="92" operator="greaterThan">
      <formula>0.9</formula>
    </cfRule>
  </conditionalFormatting>
  <conditionalFormatting sqref="M1 M31:M1048576">
    <cfRule type="cellIs" dxfId="4" priority="97" operator="greaterThan">
      <formula>2</formula>
    </cfRule>
  </conditionalFormatting>
  <conditionalFormatting sqref="W1:W3 W31:W1048576">
    <cfRule type="containsText" dxfId="0" priority="94" operator="between" text="不参与">
      <formula>NOT(ISERROR(SEARCH("不参与",W1)))</formula>
    </cfRule>
    <cfRule type="containsText" dxfId="1" priority="95" operator="between" text="后">
      <formula>NOT(ISERROR(SEARCH("后",W1)))</formula>
    </cfRule>
    <cfRule type="containsText" dxfId="2" priority="96" operator="between" text="前">
      <formula>NOT(ISERROR(SEARCH("前",W1)))</formula>
    </cfRule>
  </conditionalFormatting>
  <conditionalFormatting sqref="L2:L3 L31:L1048576">
    <cfRule type="cellIs" dxfId="4" priority="98" operator="equal">
      <formula>"有"</formula>
    </cfRule>
  </conditionalFormatting>
  <conditionalFormatting sqref="N3 N31:N1048576">
    <cfRule type="cellIs" dxfId="4" priority="101" operator="greaterThan">
      <formula>"有"</formula>
    </cfRule>
  </conditionalFormatting>
  <conditionalFormatting sqref="O3 O31:O1048576">
    <cfRule type="containsText" dxfId="0" priority="100" operator="between" text="是">
      <formula>NOT(ISERROR(SEARCH("是",O3)))</formula>
    </cfRule>
  </conditionalFormatting>
  <conditionalFormatting sqref="L4:O30">
    <cfRule type="cellIs" dxfId="4" priority="93" operator="equal">
      <formula>"有"</formula>
    </cfRule>
  </conditionalFormatting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workbookViewId="0">
      <selection activeCell="A1" sqref="A1:R1"/>
    </sheetView>
  </sheetViews>
  <sheetFormatPr defaultColWidth="9.00925925925926" defaultRowHeight="15" outlineLevelRow="1"/>
  <cols>
    <col min="1" max="1" width="7.12962962962963" style="65" customWidth="1"/>
    <col min="2" max="3" width="5.5" style="66" customWidth="1"/>
    <col min="4" max="4" width="8.25" style="67" customWidth="1"/>
    <col min="5" max="5" width="11.5" style="68" customWidth="1"/>
    <col min="6" max="6" width="7.25" style="69" customWidth="1"/>
    <col min="7" max="7" width="11.9166666666667" style="70" customWidth="1"/>
    <col min="8" max="8" width="11.7592592592593" style="71" customWidth="1"/>
    <col min="9" max="9" width="11.4074074074074" style="71" customWidth="1"/>
    <col min="10" max="10" width="8.22222222222222" style="72" customWidth="1"/>
    <col min="11" max="11" width="22.6481481481481" style="72" customWidth="1"/>
    <col min="12" max="12" width="11.6296296296296" style="72" customWidth="1"/>
    <col min="13" max="13" width="10.5833333333333" style="70" customWidth="1"/>
    <col min="14" max="14" width="7.63888888888889" style="73" customWidth="1"/>
    <col min="15" max="15" width="7.12962962962963" style="74" customWidth="1"/>
    <col min="16" max="16" width="7.12962962962963" style="75" customWidth="1"/>
    <col min="17" max="17" width="7.12962962962963" style="76" customWidth="1"/>
    <col min="18" max="18" width="34.8796296296296" style="77" customWidth="1"/>
    <col min="19" max="16362" width="9" style="77"/>
    <col min="16363" max="16384" width="9.00925925925926" style="77"/>
  </cols>
  <sheetData>
    <row r="1" ht="62" customHeight="1" spans="1:18">
      <c r="A1" s="78" t="s">
        <v>124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86"/>
      <c r="O1" s="86"/>
      <c r="P1" s="86"/>
      <c r="Q1" s="86"/>
      <c r="R1" s="86"/>
    </row>
    <row r="2" ht="62.4" spans="1:18">
      <c r="A2" s="80" t="s">
        <v>11</v>
      </c>
      <c r="B2" s="80" t="s">
        <v>12</v>
      </c>
      <c r="C2" s="80" t="s">
        <v>13</v>
      </c>
      <c r="D2" s="81" t="s">
        <v>14</v>
      </c>
      <c r="E2" s="82" t="s">
        <v>15</v>
      </c>
      <c r="F2" s="83" t="s">
        <v>16</v>
      </c>
      <c r="G2" s="84" t="s">
        <v>80</v>
      </c>
      <c r="H2" s="85" t="s">
        <v>81</v>
      </c>
      <c r="I2" s="87" t="s">
        <v>82</v>
      </c>
      <c r="J2" s="88" t="s">
        <v>20</v>
      </c>
      <c r="K2" s="89" t="s">
        <v>83</v>
      </c>
      <c r="L2" s="90" t="s">
        <v>84</v>
      </c>
      <c r="M2" s="91" t="s">
        <v>23</v>
      </c>
      <c r="N2" s="92" t="s">
        <v>85</v>
      </c>
      <c r="O2" s="93" t="s">
        <v>86</v>
      </c>
      <c r="P2" s="93" t="s">
        <v>87</v>
      </c>
      <c r="Q2" s="93" t="s">
        <v>88</v>
      </c>
      <c r="R2" s="94" t="s">
        <v>28</v>
      </c>
    </row>
  </sheetData>
  <mergeCells count="1">
    <mergeCell ref="A1:R1"/>
  </mergeCells>
  <conditionalFormatting sqref="H1">
    <cfRule type="cellIs" dxfId="4" priority="19" operator="greaterThan">
      <formula>2</formula>
    </cfRule>
  </conditionalFormatting>
  <conditionalFormatting sqref="A2">
    <cfRule type="duplicateValues" dxfId="5" priority="15"/>
  </conditionalFormatting>
  <conditionalFormatting sqref="D2">
    <cfRule type="cellIs" dxfId="3" priority="18" operator="greaterThan">
      <formula>0.4</formula>
    </cfRule>
  </conditionalFormatting>
  <conditionalFormatting sqref="F2">
    <cfRule type="cellIs" dxfId="3" priority="17" operator="between">
      <formula>0.9</formula>
      <formula>1</formula>
    </cfRule>
    <cfRule type="cellIs" dxfId="4" priority="16" operator="between">
      <formula>0</formula>
      <formula>0.3</formula>
    </cfRule>
    <cfRule type="cellIs" dxfId="4" priority="12" operator="lessThan">
      <formula>0.9</formula>
    </cfRule>
  </conditionalFormatting>
  <conditionalFormatting sqref="G2">
    <cfRule type="containsText" dxfId="0" priority="14" operator="between" text="有">
      <formula>NOT(ISERROR(SEARCH("有",G2)))</formula>
    </cfRule>
    <cfRule type="cellIs" dxfId="4" priority="8" operator="equal">
      <formula>"有"</formula>
    </cfRule>
  </conditionalFormatting>
  <conditionalFormatting sqref="I2">
    <cfRule type="cellIs" dxfId="4" priority="13" operator="equal">
      <formula>"有"</formula>
    </cfRule>
    <cfRule type="cellIs" dxfId="4" priority="10" operator="greaterThan">
      <formula>"有"</formula>
    </cfRule>
  </conditionalFormatting>
  <conditionalFormatting sqref="J2">
    <cfRule type="containsText" dxfId="0" priority="11" operator="between" text="是">
      <formula>NOT(ISERROR(SEARCH("是",J2)))</formula>
    </cfRule>
    <cfRule type="containsText" dxfId="0" priority="9" operator="between" text="是">
      <formula>NOT(ISERROR(SEARCH("是",J2)))</formula>
    </cfRule>
  </conditionalFormatting>
  <conditionalFormatting sqref="R2">
    <cfRule type="containsText" dxfId="0" priority="1" operator="between" text="不参与">
      <formula>NOT(ISERROR(SEARCH("不参与",R2)))</formula>
    </cfRule>
    <cfRule type="containsText" dxfId="1" priority="2" operator="between" text="后">
      <formula>NOT(ISERROR(SEARCH("后",R2)))</formula>
    </cfRule>
    <cfRule type="containsText" dxfId="2" priority="3" operator="between" text="前">
      <formula>NOT(ISERROR(SEARCH("前",R2)))</formula>
    </cfRule>
  </conditionalFormatting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outlinePr summaryBelow="0" summaryRight="0"/>
  </sheetPr>
  <dimension ref="A1:O27"/>
  <sheetViews>
    <sheetView workbookViewId="0">
      <pane ySplit="1" topLeftCell="A2" activePane="bottomLeft" state="frozen"/>
      <selection/>
      <selection pane="bottomLeft" activeCell="I23" sqref="I23"/>
    </sheetView>
  </sheetViews>
  <sheetFormatPr defaultColWidth="9" defaultRowHeight="14.25" customHeight="1"/>
  <cols>
    <col min="1" max="1" width="3.66666666666667" style="52" customWidth="1"/>
    <col min="2" max="2" width="6.33333333333333" style="52" customWidth="1"/>
    <col min="3" max="3" width="8.16666666666667" style="52" customWidth="1"/>
    <col min="4" max="4" width="7" style="53" customWidth="1"/>
    <col min="5" max="5" width="9.25" style="53" hidden="1" customWidth="1"/>
    <col min="6" max="6" width="8.75" style="53" customWidth="1"/>
    <col min="7" max="7" width="7" style="52" hidden="1" customWidth="1"/>
    <col min="8" max="8" width="8.87962962962963" style="52" customWidth="1"/>
    <col min="9" max="9" width="17.25" style="54" customWidth="1"/>
    <col min="10" max="10" width="39.1296296296296" style="52" customWidth="1"/>
    <col min="11" max="11" width="8.62962962962963" style="52" customWidth="1"/>
    <col min="12" max="12" width="18.1666666666667" style="54" hidden="1" customWidth="1"/>
    <col min="13" max="14" width="5.16666666666667" style="54" hidden="1" customWidth="1"/>
    <col min="15" max="15" width="14.6296296296296" style="54" customWidth="1"/>
    <col min="16" max="33" width="9" style="53"/>
    <col min="34" max="16384" width="9" style="55"/>
  </cols>
  <sheetData>
    <row r="1" customHeight="1" spans="1:15">
      <c r="A1" s="56" t="s">
        <v>125</v>
      </c>
      <c r="B1" s="56" t="s">
        <v>126</v>
      </c>
      <c r="C1" s="56" t="s">
        <v>127</v>
      </c>
      <c r="D1" s="57" t="s">
        <v>128</v>
      </c>
      <c r="E1" s="57" t="s">
        <v>129</v>
      </c>
      <c r="F1" s="56" t="s">
        <v>130</v>
      </c>
      <c r="G1" s="56" t="s">
        <v>131</v>
      </c>
      <c r="H1" s="56" t="s">
        <v>132</v>
      </c>
      <c r="I1" s="57" t="s">
        <v>133</v>
      </c>
      <c r="J1" s="56" t="s">
        <v>134</v>
      </c>
      <c r="K1" s="56" t="s">
        <v>135</v>
      </c>
      <c r="L1" s="56" t="s">
        <v>136</v>
      </c>
      <c r="M1" s="57" t="s">
        <v>137</v>
      </c>
      <c r="N1" s="61" t="s">
        <v>138</v>
      </c>
      <c r="O1" s="56" t="s">
        <v>28</v>
      </c>
    </row>
    <row r="2" customHeight="1" spans="1:15">
      <c r="A2" s="58">
        <v>1</v>
      </c>
      <c r="B2" s="58" t="s">
        <v>139</v>
      </c>
      <c r="C2" s="59" t="s">
        <v>140</v>
      </c>
      <c r="D2" s="58" t="s">
        <v>141</v>
      </c>
      <c r="E2" s="58" t="s">
        <v>142</v>
      </c>
      <c r="F2" s="58" t="s">
        <v>143</v>
      </c>
      <c r="G2" s="58" t="s">
        <v>144</v>
      </c>
      <c r="H2" s="60">
        <v>46088</v>
      </c>
      <c r="I2" s="60" t="s">
        <v>145</v>
      </c>
      <c r="J2" s="58" t="s">
        <v>146</v>
      </c>
      <c r="K2" s="62" t="s">
        <v>147</v>
      </c>
      <c r="L2" s="63" t="s">
        <v>148</v>
      </c>
      <c r="M2" s="58" t="s">
        <v>149</v>
      </c>
      <c r="N2" s="58" t="s">
        <v>150</v>
      </c>
      <c r="O2" s="64" t="s">
        <v>151</v>
      </c>
    </row>
    <row r="3" customHeight="1" spans="1:15">
      <c r="A3" s="58">
        <v>2</v>
      </c>
      <c r="B3" s="58" t="s">
        <v>152</v>
      </c>
      <c r="C3" s="59" t="s">
        <v>153</v>
      </c>
      <c r="D3" s="58" t="s">
        <v>154</v>
      </c>
      <c r="E3" s="58" t="s">
        <v>142</v>
      </c>
      <c r="F3" s="58" t="s">
        <v>143</v>
      </c>
      <c r="G3" s="58" t="s">
        <v>144</v>
      </c>
      <c r="H3" s="60" t="s">
        <v>155</v>
      </c>
      <c r="I3" s="60" t="s">
        <v>156</v>
      </c>
      <c r="J3" s="58" t="s">
        <v>157</v>
      </c>
      <c r="K3" s="62" t="s">
        <v>147</v>
      </c>
      <c r="L3" s="63" t="s">
        <v>158</v>
      </c>
      <c r="M3" s="58">
        <v>30</v>
      </c>
      <c r="N3" s="58" t="s">
        <v>159</v>
      </c>
      <c r="O3" s="64" t="s">
        <v>160</v>
      </c>
    </row>
    <row r="4" customHeight="1" spans="1:15">
      <c r="A4" s="58">
        <v>3</v>
      </c>
      <c r="B4" s="58" t="s">
        <v>161</v>
      </c>
      <c r="C4" s="59" t="s">
        <v>162</v>
      </c>
      <c r="D4" s="58" t="s">
        <v>163</v>
      </c>
      <c r="E4" s="58" t="s">
        <v>142</v>
      </c>
      <c r="F4" s="58" t="s">
        <v>36</v>
      </c>
      <c r="G4" s="58" t="s">
        <v>144</v>
      </c>
      <c r="H4" s="60">
        <v>46063</v>
      </c>
      <c r="I4" s="60" t="s">
        <v>145</v>
      </c>
      <c r="J4" s="58" t="s">
        <v>146</v>
      </c>
      <c r="K4" s="62" t="s">
        <v>147</v>
      </c>
      <c r="L4" s="63" t="s">
        <v>164</v>
      </c>
      <c r="M4" s="58">
        <v>500</v>
      </c>
      <c r="N4" s="58" t="s">
        <v>150</v>
      </c>
      <c r="O4" s="64" t="s">
        <v>165</v>
      </c>
    </row>
    <row r="5" customHeight="1" spans="1:15">
      <c r="A5" s="58">
        <v>4</v>
      </c>
      <c r="B5" s="58" t="s">
        <v>161</v>
      </c>
      <c r="C5" s="59" t="s">
        <v>162</v>
      </c>
      <c r="D5" s="58" t="s">
        <v>163</v>
      </c>
      <c r="E5" s="58" t="s">
        <v>142</v>
      </c>
      <c r="F5" s="58" t="s">
        <v>36</v>
      </c>
      <c r="G5" s="58" t="s">
        <v>144</v>
      </c>
      <c r="H5" s="60">
        <v>46096</v>
      </c>
      <c r="I5" s="60" t="s">
        <v>145</v>
      </c>
      <c r="J5" s="58" t="s">
        <v>166</v>
      </c>
      <c r="K5" s="62" t="s">
        <v>147</v>
      </c>
      <c r="L5" s="63" t="s">
        <v>167</v>
      </c>
      <c r="M5" s="58">
        <v>500</v>
      </c>
      <c r="N5" s="58" t="s">
        <v>150</v>
      </c>
      <c r="O5" s="64" t="s">
        <v>168</v>
      </c>
    </row>
    <row r="6" customHeight="1" spans="1:15">
      <c r="A6" s="58">
        <v>5</v>
      </c>
      <c r="B6" s="58" t="s">
        <v>169</v>
      </c>
      <c r="C6" s="59" t="s">
        <v>170</v>
      </c>
      <c r="D6" s="58" t="s">
        <v>171</v>
      </c>
      <c r="E6" s="58" t="s">
        <v>142</v>
      </c>
      <c r="F6" s="58" t="s">
        <v>44</v>
      </c>
      <c r="G6" s="58" t="s">
        <v>144</v>
      </c>
      <c r="H6" s="60" t="s">
        <v>172</v>
      </c>
      <c r="I6" s="60" t="s">
        <v>156</v>
      </c>
      <c r="J6" s="58" t="s">
        <v>173</v>
      </c>
      <c r="K6" s="62" t="s">
        <v>147</v>
      </c>
      <c r="L6" s="63" t="s">
        <v>174</v>
      </c>
      <c r="M6" s="58">
        <v>1000</v>
      </c>
      <c r="N6" s="58" t="s">
        <v>159</v>
      </c>
      <c r="O6" s="64" t="s">
        <v>175</v>
      </c>
    </row>
    <row r="7" customHeight="1" spans="1:15">
      <c r="A7" s="58">
        <v>6</v>
      </c>
      <c r="B7" s="58" t="s">
        <v>176</v>
      </c>
      <c r="C7" s="59" t="s">
        <v>107</v>
      </c>
      <c r="D7" s="58" t="s">
        <v>177</v>
      </c>
      <c r="E7" s="58" t="s">
        <v>142</v>
      </c>
      <c r="F7" s="58" t="s">
        <v>44</v>
      </c>
      <c r="G7" s="58" t="s">
        <v>144</v>
      </c>
      <c r="H7" s="60" t="s">
        <v>178</v>
      </c>
      <c r="I7" s="60" t="s">
        <v>156</v>
      </c>
      <c r="J7" s="58" t="s">
        <v>179</v>
      </c>
      <c r="K7" s="62" t="s">
        <v>147</v>
      </c>
      <c r="L7" s="63" t="s">
        <v>180</v>
      </c>
      <c r="M7" s="58">
        <v>1000</v>
      </c>
      <c r="N7" s="58" t="s">
        <v>159</v>
      </c>
      <c r="O7" s="64" t="s">
        <v>181</v>
      </c>
    </row>
    <row r="8" customHeight="1" spans="1:15">
      <c r="A8" s="58">
        <v>7</v>
      </c>
      <c r="B8" s="58" t="s">
        <v>182</v>
      </c>
      <c r="C8" s="59" t="s">
        <v>183</v>
      </c>
      <c r="D8" s="58" t="s">
        <v>184</v>
      </c>
      <c r="E8" s="58" t="s">
        <v>142</v>
      </c>
      <c r="F8" s="58" t="s">
        <v>48</v>
      </c>
      <c r="G8" s="58" t="s">
        <v>144</v>
      </c>
      <c r="H8" s="60">
        <v>46080</v>
      </c>
      <c r="I8" s="60" t="s">
        <v>185</v>
      </c>
      <c r="J8" s="58" t="s">
        <v>186</v>
      </c>
      <c r="K8" s="62" t="s">
        <v>147</v>
      </c>
      <c r="L8" s="63" t="s">
        <v>167</v>
      </c>
      <c r="M8" s="58">
        <v>500</v>
      </c>
      <c r="N8" s="58" t="s">
        <v>150</v>
      </c>
      <c r="O8" s="64" t="s">
        <v>187</v>
      </c>
    </row>
    <row r="9" customHeight="1" spans="1:15">
      <c r="A9" s="58">
        <v>8</v>
      </c>
      <c r="B9" s="58" t="s">
        <v>188</v>
      </c>
      <c r="C9" s="59" t="s">
        <v>189</v>
      </c>
      <c r="D9" s="58" t="s">
        <v>190</v>
      </c>
      <c r="E9" s="58" t="s">
        <v>142</v>
      </c>
      <c r="F9" s="58" t="s">
        <v>48</v>
      </c>
      <c r="G9" s="58" t="s">
        <v>144</v>
      </c>
      <c r="H9" s="60" t="s">
        <v>191</v>
      </c>
      <c r="I9" s="60" t="s">
        <v>156</v>
      </c>
      <c r="J9" s="58" t="s">
        <v>192</v>
      </c>
      <c r="K9" s="62" t="s">
        <v>147</v>
      </c>
      <c r="L9" s="63" t="s">
        <v>167</v>
      </c>
      <c r="M9" s="58">
        <v>500</v>
      </c>
      <c r="N9" s="58" t="s">
        <v>159</v>
      </c>
      <c r="O9" s="64" t="s">
        <v>193</v>
      </c>
    </row>
    <row r="10" customHeight="1" spans="1:15">
      <c r="A10" s="58">
        <v>9</v>
      </c>
      <c r="B10" s="58" t="s">
        <v>194</v>
      </c>
      <c r="C10" s="59" t="s">
        <v>195</v>
      </c>
      <c r="D10" s="58" t="s">
        <v>196</v>
      </c>
      <c r="E10" s="58" t="s">
        <v>142</v>
      </c>
      <c r="F10" s="58" t="s">
        <v>29</v>
      </c>
      <c r="G10" s="58" t="s">
        <v>144</v>
      </c>
      <c r="H10" s="60">
        <v>46066</v>
      </c>
      <c r="I10" s="60" t="s">
        <v>185</v>
      </c>
      <c r="J10" s="58" t="s">
        <v>197</v>
      </c>
      <c r="K10" s="62" t="s">
        <v>147</v>
      </c>
      <c r="L10" s="63" t="s">
        <v>198</v>
      </c>
      <c r="M10" s="58">
        <v>200</v>
      </c>
      <c r="N10" s="58" t="s">
        <v>150</v>
      </c>
      <c r="O10" s="64" t="s">
        <v>199</v>
      </c>
    </row>
    <row r="11" customHeight="1" spans="1:15">
      <c r="A11" s="58">
        <v>10</v>
      </c>
      <c r="B11" s="58" t="s">
        <v>139</v>
      </c>
      <c r="C11" s="59" t="s">
        <v>140</v>
      </c>
      <c r="D11" s="58" t="s">
        <v>141</v>
      </c>
      <c r="E11" s="58" t="s">
        <v>142</v>
      </c>
      <c r="F11" s="58" t="s">
        <v>143</v>
      </c>
      <c r="G11" s="58" t="s">
        <v>144</v>
      </c>
      <c r="H11" s="60">
        <v>46088</v>
      </c>
      <c r="I11" s="60" t="s">
        <v>145</v>
      </c>
      <c r="J11" s="58" t="s">
        <v>200</v>
      </c>
      <c r="K11" s="62" t="s">
        <v>147</v>
      </c>
      <c r="L11" s="63" t="s">
        <v>201</v>
      </c>
      <c r="M11" s="58">
        <v>0</v>
      </c>
      <c r="N11" s="58" t="s">
        <v>202</v>
      </c>
      <c r="O11" s="64" t="s">
        <v>203</v>
      </c>
    </row>
    <row r="12" customHeight="1" spans="1:15">
      <c r="A12" s="58">
        <v>1</v>
      </c>
      <c r="B12" s="58" t="s">
        <v>204</v>
      </c>
      <c r="C12" s="59" t="s">
        <v>205</v>
      </c>
      <c r="D12" s="58" t="s">
        <v>206</v>
      </c>
      <c r="E12" s="58" t="s">
        <v>142</v>
      </c>
      <c r="F12" s="58" t="s">
        <v>29</v>
      </c>
      <c r="G12" s="58" t="s">
        <v>144</v>
      </c>
      <c r="H12" s="60">
        <v>46047</v>
      </c>
      <c r="I12" s="60" t="s">
        <v>145</v>
      </c>
      <c r="J12" s="58" t="s">
        <v>146</v>
      </c>
      <c r="K12" s="62" t="s">
        <v>207</v>
      </c>
      <c r="L12" s="63" t="s">
        <v>164</v>
      </c>
      <c r="M12" s="58">
        <v>500</v>
      </c>
      <c r="N12" s="58" t="s">
        <v>150</v>
      </c>
      <c r="O12" s="64" t="s">
        <v>208</v>
      </c>
    </row>
    <row r="13" customHeight="1" spans="1:15">
      <c r="A13" s="58">
        <v>2</v>
      </c>
      <c r="B13" s="58" t="s">
        <v>209</v>
      </c>
      <c r="C13" s="59" t="s">
        <v>210</v>
      </c>
      <c r="D13" s="58" t="s">
        <v>211</v>
      </c>
      <c r="E13" s="58" t="s">
        <v>142</v>
      </c>
      <c r="F13" s="58" t="s">
        <v>143</v>
      </c>
      <c r="G13" s="58" t="s">
        <v>144</v>
      </c>
      <c r="H13" s="60" t="s">
        <v>212</v>
      </c>
      <c r="I13" s="60" t="s">
        <v>213</v>
      </c>
      <c r="J13" s="58" t="s">
        <v>157</v>
      </c>
      <c r="K13" s="62" t="s">
        <v>207</v>
      </c>
      <c r="L13" s="63" t="s">
        <v>158</v>
      </c>
      <c r="M13" s="58">
        <v>30</v>
      </c>
      <c r="N13" s="58" t="s">
        <v>159</v>
      </c>
      <c r="O13" s="64" t="s">
        <v>214</v>
      </c>
    </row>
    <row r="14" customHeight="1" spans="1:15">
      <c r="A14" s="58">
        <v>3</v>
      </c>
      <c r="B14" s="58" t="s">
        <v>215</v>
      </c>
      <c r="C14" s="59" t="s">
        <v>216</v>
      </c>
      <c r="D14" s="58" t="s">
        <v>217</v>
      </c>
      <c r="E14" s="58" t="s">
        <v>142</v>
      </c>
      <c r="F14" s="58" t="s">
        <v>44</v>
      </c>
      <c r="G14" s="58" t="s">
        <v>144</v>
      </c>
      <c r="H14" s="60" t="s">
        <v>218</v>
      </c>
      <c r="I14" s="60" t="s">
        <v>156</v>
      </c>
      <c r="J14" s="58" t="s">
        <v>146</v>
      </c>
      <c r="K14" s="62" t="s">
        <v>207</v>
      </c>
      <c r="L14" s="63" t="s">
        <v>164</v>
      </c>
      <c r="M14" s="58">
        <v>500</v>
      </c>
      <c r="N14" s="58" t="s">
        <v>159</v>
      </c>
      <c r="O14" s="64" t="s">
        <v>219</v>
      </c>
    </row>
    <row r="15" customHeight="1" spans="1:15">
      <c r="A15" s="58">
        <v>1</v>
      </c>
      <c r="B15" s="58" t="s">
        <v>220</v>
      </c>
      <c r="C15" s="59" t="s">
        <v>221</v>
      </c>
      <c r="D15" s="58" t="s">
        <v>222</v>
      </c>
      <c r="E15" s="58" t="s">
        <v>142</v>
      </c>
      <c r="F15" s="58" t="s">
        <v>143</v>
      </c>
      <c r="G15" s="58" t="s">
        <v>144</v>
      </c>
      <c r="H15" s="60" t="s">
        <v>223</v>
      </c>
      <c r="I15" s="60" t="s">
        <v>156</v>
      </c>
      <c r="J15" s="58" t="s">
        <v>157</v>
      </c>
      <c r="K15" s="62" t="s">
        <v>224</v>
      </c>
      <c r="L15" s="63" t="s">
        <v>158</v>
      </c>
      <c r="M15" s="58">
        <v>30</v>
      </c>
      <c r="N15" s="58" t="s">
        <v>159</v>
      </c>
      <c r="O15" s="64" t="s">
        <v>225</v>
      </c>
    </row>
    <row r="16" customHeight="1" spans="1:15">
      <c r="A16" s="58">
        <v>2</v>
      </c>
      <c r="B16" s="58" t="s">
        <v>226</v>
      </c>
      <c r="C16" s="59" t="s">
        <v>227</v>
      </c>
      <c r="D16" s="58" t="s">
        <v>228</v>
      </c>
      <c r="E16" s="58" t="s">
        <v>142</v>
      </c>
      <c r="F16" s="58" t="s">
        <v>143</v>
      </c>
      <c r="G16" s="58" t="s">
        <v>144</v>
      </c>
      <c r="H16" s="60" t="s">
        <v>229</v>
      </c>
      <c r="I16" s="60" t="s">
        <v>213</v>
      </c>
      <c r="J16" s="58" t="s">
        <v>230</v>
      </c>
      <c r="K16" s="62" t="s">
        <v>224</v>
      </c>
      <c r="L16" s="63" t="s">
        <v>231</v>
      </c>
      <c r="M16" s="58">
        <v>200</v>
      </c>
      <c r="N16" s="58" t="s">
        <v>159</v>
      </c>
      <c r="O16" s="64" t="s">
        <v>232</v>
      </c>
    </row>
    <row r="17" customHeight="1" spans="1:15">
      <c r="A17" s="58">
        <v>3</v>
      </c>
      <c r="B17" s="58" t="s">
        <v>233</v>
      </c>
      <c r="C17" s="59" t="s">
        <v>234</v>
      </c>
      <c r="D17" s="58" t="s">
        <v>235</v>
      </c>
      <c r="E17" s="58" t="s">
        <v>142</v>
      </c>
      <c r="F17" s="58" t="s">
        <v>44</v>
      </c>
      <c r="G17" s="58" t="s">
        <v>144</v>
      </c>
      <c r="H17" s="60">
        <v>46029</v>
      </c>
      <c r="I17" s="60" t="s">
        <v>185</v>
      </c>
      <c r="J17" s="58" t="s">
        <v>146</v>
      </c>
      <c r="K17" s="62" t="s">
        <v>224</v>
      </c>
      <c r="L17" s="63" t="s">
        <v>164</v>
      </c>
      <c r="M17" s="58">
        <v>500</v>
      </c>
      <c r="N17" s="58" t="s">
        <v>150</v>
      </c>
      <c r="O17" s="64" t="s">
        <v>236</v>
      </c>
    </row>
    <row r="18" customHeight="1" spans="1:15">
      <c r="A18" s="58">
        <v>4</v>
      </c>
      <c r="B18" s="58" t="s">
        <v>237</v>
      </c>
      <c r="C18" s="59" t="s">
        <v>238</v>
      </c>
      <c r="D18" s="58" t="s">
        <v>239</v>
      </c>
      <c r="E18" s="58" t="s">
        <v>142</v>
      </c>
      <c r="F18" s="58" t="s">
        <v>44</v>
      </c>
      <c r="G18" s="58" t="s">
        <v>144</v>
      </c>
      <c r="H18" s="60" t="s">
        <v>240</v>
      </c>
      <c r="I18" s="60" t="s">
        <v>156</v>
      </c>
      <c r="J18" s="58" t="s">
        <v>146</v>
      </c>
      <c r="K18" s="62" t="s">
        <v>224</v>
      </c>
      <c r="L18" s="63" t="s">
        <v>164</v>
      </c>
      <c r="M18" s="58">
        <v>500</v>
      </c>
      <c r="N18" s="58" t="s">
        <v>159</v>
      </c>
      <c r="O18" s="64" t="s">
        <v>241</v>
      </c>
    </row>
    <row r="19" customHeight="1" spans="1:15">
      <c r="A19" s="58">
        <v>5</v>
      </c>
      <c r="B19" s="58" t="s">
        <v>242</v>
      </c>
      <c r="C19" s="59" t="s">
        <v>243</v>
      </c>
      <c r="D19" s="58" t="s">
        <v>244</v>
      </c>
      <c r="E19" s="58" t="s">
        <v>142</v>
      </c>
      <c r="F19" s="58" t="s">
        <v>29</v>
      </c>
      <c r="G19" s="58" t="s">
        <v>144</v>
      </c>
      <c r="H19" s="60">
        <v>46044</v>
      </c>
      <c r="I19" s="60" t="s">
        <v>185</v>
      </c>
      <c r="J19" s="58" t="s">
        <v>245</v>
      </c>
      <c r="K19" s="62" t="s">
        <v>224</v>
      </c>
      <c r="L19" s="63" t="s">
        <v>167</v>
      </c>
      <c r="M19" s="58">
        <v>500</v>
      </c>
      <c r="N19" s="58" t="s">
        <v>150</v>
      </c>
      <c r="O19" s="64" t="s">
        <v>246</v>
      </c>
    </row>
    <row r="20" customHeight="1" spans="1:15">
      <c r="A20" s="58">
        <v>1</v>
      </c>
      <c r="B20" s="58" t="s">
        <v>247</v>
      </c>
      <c r="C20" s="59" t="s">
        <v>248</v>
      </c>
      <c r="D20" s="58" t="s">
        <v>249</v>
      </c>
      <c r="E20" s="58" t="s">
        <v>142</v>
      </c>
      <c r="F20" s="58" t="s">
        <v>36</v>
      </c>
      <c r="G20" s="58" t="s">
        <v>144</v>
      </c>
      <c r="H20" s="60">
        <v>46106</v>
      </c>
      <c r="I20" s="60" t="s">
        <v>145</v>
      </c>
      <c r="J20" s="58" t="s">
        <v>250</v>
      </c>
      <c r="K20" s="62" t="s">
        <v>251</v>
      </c>
      <c r="L20" s="63" t="s">
        <v>174</v>
      </c>
      <c r="M20" s="58">
        <v>1000</v>
      </c>
      <c r="N20" s="58" t="s">
        <v>150</v>
      </c>
      <c r="O20" s="64" t="s">
        <v>252</v>
      </c>
    </row>
    <row r="21" customHeight="1" spans="1:15">
      <c r="A21" s="58">
        <v>2</v>
      </c>
      <c r="B21" s="58" t="s">
        <v>253</v>
      </c>
      <c r="C21" s="59" t="s">
        <v>254</v>
      </c>
      <c r="D21" s="58" t="s">
        <v>255</v>
      </c>
      <c r="E21" s="58" t="s">
        <v>142</v>
      </c>
      <c r="F21" s="58" t="s">
        <v>256</v>
      </c>
      <c r="G21" s="58" t="s">
        <v>144</v>
      </c>
      <c r="H21" s="60">
        <v>46110</v>
      </c>
      <c r="I21" s="60" t="s">
        <v>145</v>
      </c>
      <c r="J21" s="58" t="s">
        <v>146</v>
      </c>
      <c r="K21" s="62" t="s">
        <v>251</v>
      </c>
      <c r="L21" s="63" t="s">
        <v>257</v>
      </c>
      <c r="M21" s="58">
        <v>50</v>
      </c>
      <c r="N21" s="58" t="s">
        <v>150</v>
      </c>
      <c r="O21" s="64" t="s">
        <v>258</v>
      </c>
    </row>
    <row r="22" customHeight="1" spans="1:15">
      <c r="A22" s="58">
        <v>3</v>
      </c>
      <c r="B22" s="58" t="s">
        <v>182</v>
      </c>
      <c r="C22" s="59" t="s">
        <v>183</v>
      </c>
      <c r="D22" s="58" t="s">
        <v>184</v>
      </c>
      <c r="E22" s="58" t="s">
        <v>142</v>
      </c>
      <c r="F22" s="58" t="s">
        <v>48</v>
      </c>
      <c r="G22" s="58" t="s">
        <v>144</v>
      </c>
      <c r="H22" s="60">
        <v>46102</v>
      </c>
      <c r="I22" s="60" t="s">
        <v>185</v>
      </c>
      <c r="J22" s="58" t="s">
        <v>259</v>
      </c>
      <c r="K22" s="62" t="s">
        <v>251</v>
      </c>
      <c r="L22" s="63" t="s">
        <v>174</v>
      </c>
      <c r="M22" s="58">
        <v>1000</v>
      </c>
      <c r="N22" s="58" t="s">
        <v>150</v>
      </c>
      <c r="O22" s="64" t="s">
        <v>260</v>
      </c>
    </row>
    <row r="23" customHeight="1" spans="1:15">
      <c r="A23" s="58">
        <v>4</v>
      </c>
      <c r="B23" s="58" t="s">
        <v>215</v>
      </c>
      <c r="C23" s="59" t="s">
        <v>216</v>
      </c>
      <c r="D23" s="58" t="s">
        <v>217</v>
      </c>
      <c r="E23" s="58" t="s">
        <v>142</v>
      </c>
      <c r="F23" s="58" t="s">
        <v>44</v>
      </c>
      <c r="G23" s="58" t="s">
        <v>144</v>
      </c>
      <c r="H23" s="60">
        <v>46127</v>
      </c>
      <c r="I23" s="60" t="s">
        <v>261</v>
      </c>
      <c r="J23" s="58" t="s">
        <v>262</v>
      </c>
      <c r="K23" s="62" t="s">
        <v>251</v>
      </c>
      <c r="L23" s="63" t="s">
        <v>167</v>
      </c>
      <c r="M23" s="58">
        <v>500</v>
      </c>
      <c r="N23" s="58" t="s">
        <v>150</v>
      </c>
      <c r="O23" s="64" t="s">
        <v>263</v>
      </c>
    </row>
    <row r="24" customHeight="1" spans="1:15">
      <c r="A24" s="58">
        <v>5</v>
      </c>
      <c r="B24" s="58" t="s">
        <v>264</v>
      </c>
      <c r="C24" s="59" t="s">
        <v>265</v>
      </c>
      <c r="D24" s="58" t="s">
        <v>266</v>
      </c>
      <c r="E24" s="58" t="s">
        <v>142</v>
      </c>
      <c r="F24" s="58" t="s">
        <v>44</v>
      </c>
      <c r="G24" s="58" t="s">
        <v>144</v>
      </c>
      <c r="H24" s="60">
        <v>46103</v>
      </c>
      <c r="I24" s="60" t="s">
        <v>185</v>
      </c>
      <c r="J24" s="58" t="s">
        <v>267</v>
      </c>
      <c r="K24" s="62" t="s">
        <v>251</v>
      </c>
      <c r="L24" s="63" t="s">
        <v>167</v>
      </c>
      <c r="M24" s="58">
        <v>500</v>
      </c>
      <c r="N24" s="58" t="s">
        <v>150</v>
      </c>
      <c r="O24" s="64" t="s">
        <v>268</v>
      </c>
    </row>
    <row r="25" customHeight="1" spans="1:15">
      <c r="A25" s="58">
        <v>6</v>
      </c>
      <c r="B25" s="58" t="s">
        <v>269</v>
      </c>
      <c r="C25" s="59" t="s">
        <v>270</v>
      </c>
      <c r="D25" s="58" t="s">
        <v>271</v>
      </c>
      <c r="E25" s="58" t="s">
        <v>142</v>
      </c>
      <c r="F25" s="58" t="s">
        <v>44</v>
      </c>
      <c r="G25" s="58" t="s">
        <v>144</v>
      </c>
      <c r="H25" s="60">
        <v>46086</v>
      </c>
      <c r="I25" s="60" t="s">
        <v>261</v>
      </c>
      <c r="J25" s="58" t="s">
        <v>272</v>
      </c>
      <c r="K25" s="62" t="s">
        <v>251</v>
      </c>
      <c r="L25" s="63" t="s">
        <v>167</v>
      </c>
      <c r="M25" s="58">
        <v>500</v>
      </c>
      <c r="N25" s="58" t="s">
        <v>150</v>
      </c>
      <c r="O25" s="64" t="s">
        <v>273</v>
      </c>
    </row>
    <row r="26" customHeight="1" spans="1:15">
      <c r="A26" s="58">
        <v>7</v>
      </c>
      <c r="B26" s="58" t="s">
        <v>274</v>
      </c>
      <c r="C26" s="59" t="s">
        <v>275</v>
      </c>
      <c r="D26" s="58" t="s">
        <v>276</v>
      </c>
      <c r="E26" s="58" t="s">
        <v>142</v>
      </c>
      <c r="F26" s="58" t="s">
        <v>48</v>
      </c>
      <c r="G26" s="58" t="s">
        <v>144</v>
      </c>
      <c r="H26" s="60">
        <v>46088</v>
      </c>
      <c r="I26" s="60" t="s">
        <v>277</v>
      </c>
      <c r="J26" s="58" t="s">
        <v>197</v>
      </c>
      <c r="K26" s="62" t="s">
        <v>251</v>
      </c>
      <c r="L26" s="63" t="s">
        <v>278</v>
      </c>
      <c r="M26" s="58">
        <v>0</v>
      </c>
      <c r="N26" s="58" t="s">
        <v>159</v>
      </c>
      <c r="O26" s="64" t="s">
        <v>279</v>
      </c>
    </row>
    <row r="27" customHeight="1" spans="1:15">
      <c r="A27" s="58">
        <v>8</v>
      </c>
      <c r="B27" s="58" t="s">
        <v>280</v>
      </c>
      <c r="C27" s="59" t="s">
        <v>281</v>
      </c>
      <c r="D27" s="58" t="s">
        <v>282</v>
      </c>
      <c r="E27" s="58" t="s">
        <v>142</v>
      </c>
      <c r="F27" s="58" t="s">
        <v>48</v>
      </c>
      <c r="G27" s="58" t="s">
        <v>144</v>
      </c>
      <c r="H27" s="60">
        <v>46109</v>
      </c>
      <c r="I27" s="60" t="s">
        <v>213</v>
      </c>
      <c r="J27" s="58" t="s">
        <v>146</v>
      </c>
      <c r="K27" s="62" t="s">
        <v>251</v>
      </c>
      <c r="L27" s="63" t="s">
        <v>164</v>
      </c>
      <c r="M27" s="58">
        <v>500</v>
      </c>
      <c r="N27" s="58" t="s">
        <v>159</v>
      </c>
      <c r="O27" s="64" t="s">
        <v>283</v>
      </c>
    </row>
  </sheetData>
  <autoFilter ref="A1:XFA1048219">
    <extLst/>
  </autoFilter>
  <conditionalFormatting sqref="B1">
    <cfRule type="duplicateValues" dxfId="5" priority="79"/>
  </conditionalFormatting>
  <conditionalFormatting sqref="D1">
    <cfRule type="duplicateValues" dxfId="5" priority="78"/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G15"/>
  <sheetViews>
    <sheetView zoomScale="70" zoomScaleNormal="70" workbookViewId="0">
      <selection activeCell="V36" sqref="V36"/>
    </sheetView>
  </sheetViews>
  <sheetFormatPr defaultColWidth="9" defaultRowHeight="13.5" customHeight="1"/>
  <cols>
    <col min="1" max="1" width="7.5" style="42" customWidth="1"/>
    <col min="2" max="2" width="12.3518518518519" style="42" customWidth="1"/>
    <col min="3" max="4" width="9" style="42"/>
    <col min="5" max="6" width="9" style="42" hidden="1" customWidth="1"/>
    <col min="7" max="7" width="19.5555555555556" style="42" customWidth="1"/>
    <col min="8" max="8" width="8.37962962962963" style="42" customWidth="1"/>
    <col min="9" max="9" width="8.87962962962963" style="42" hidden="1" customWidth="1"/>
    <col min="10" max="10" width="11.25" style="42" customWidth="1"/>
    <col min="11" max="11" width="9" style="42"/>
    <col min="12" max="12" width="4.37962962962963" style="42" hidden="1" customWidth="1"/>
    <col min="13" max="13" width="9.62962962962963" style="42" hidden="1" customWidth="1"/>
    <col min="14" max="14" width="16.8796296296296" style="42" customWidth="1"/>
    <col min="15" max="17" width="9" style="42" hidden="1" customWidth="1"/>
    <col min="18" max="21" width="7.37962962962963" style="42" hidden="1" customWidth="1"/>
    <col min="22" max="22" width="21.1296296296296" style="42" customWidth="1"/>
    <col min="23" max="23" width="26.0277777777778" style="42" customWidth="1"/>
    <col min="24" max="25" width="9" style="42"/>
    <col min="26" max="26" width="10.3796296296296" style="42"/>
    <col min="27" max="28" width="9" style="42"/>
    <col min="29" max="29" width="9" style="43" hidden="1" customWidth="1"/>
    <col min="30" max="30" width="15" style="43" customWidth="1"/>
    <col min="31" max="31" width="9.11111111111111" style="43" customWidth="1"/>
    <col min="32" max="32" width="9" style="42"/>
    <col min="33" max="33" width="18.9259259259259" style="42" customWidth="1"/>
    <col min="34" max="41" width="9" style="42"/>
    <col min="42" max="16384" width="9" style="44"/>
  </cols>
  <sheetData>
    <row r="1" s="42" customFormat="1" customHeight="1" spans="1:33">
      <c r="A1" s="45" t="s">
        <v>284</v>
      </c>
      <c r="B1" s="45" t="s">
        <v>285</v>
      </c>
      <c r="C1" s="45" t="s">
        <v>286</v>
      </c>
      <c r="D1" s="45" t="s">
        <v>287</v>
      </c>
      <c r="E1" s="45" t="s">
        <v>288</v>
      </c>
      <c r="F1" s="45" t="s">
        <v>289</v>
      </c>
      <c r="G1" s="45" t="s">
        <v>290</v>
      </c>
      <c r="H1" s="45" t="s">
        <v>291</v>
      </c>
      <c r="I1" s="45" t="s">
        <v>292</v>
      </c>
      <c r="J1" s="45" t="s">
        <v>293</v>
      </c>
      <c r="K1" s="45" t="s">
        <v>294</v>
      </c>
      <c r="L1" s="45" t="s">
        <v>295</v>
      </c>
      <c r="M1" s="45" t="s">
        <v>296</v>
      </c>
      <c r="N1" s="45" t="s">
        <v>297</v>
      </c>
      <c r="O1" s="45" t="s">
        <v>298</v>
      </c>
      <c r="P1" s="45" t="s">
        <v>299</v>
      </c>
      <c r="Q1" s="45" t="s">
        <v>300</v>
      </c>
      <c r="R1" s="45" t="s">
        <v>301</v>
      </c>
      <c r="S1" s="45" t="s">
        <v>302</v>
      </c>
      <c r="T1" s="45" t="s">
        <v>303</v>
      </c>
      <c r="U1" s="45" t="s">
        <v>304</v>
      </c>
      <c r="V1" s="45" t="s">
        <v>305</v>
      </c>
      <c r="W1" s="45" t="s">
        <v>306</v>
      </c>
      <c r="X1" s="45" t="s">
        <v>307</v>
      </c>
      <c r="Y1" s="45" t="s">
        <v>308</v>
      </c>
      <c r="Z1" s="45" t="s">
        <v>309</v>
      </c>
      <c r="AA1" s="45" t="s">
        <v>310</v>
      </c>
      <c r="AB1" s="45" t="s">
        <v>311</v>
      </c>
      <c r="AC1" s="50" t="s">
        <v>312</v>
      </c>
      <c r="AD1" s="50" t="s">
        <v>313</v>
      </c>
      <c r="AE1" s="10" t="s">
        <v>314</v>
      </c>
      <c r="AF1" s="42" t="s">
        <v>315</v>
      </c>
      <c r="AG1" s="42" t="s">
        <v>316</v>
      </c>
    </row>
    <row r="2" customHeight="1" spans="1:33">
      <c r="A2" s="46">
        <v>69829</v>
      </c>
      <c r="B2" s="46">
        <v>51061</v>
      </c>
      <c r="C2" s="47" t="s">
        <v>32</v>
      </c>
      <c r="D2" s="47" t="s">
        <v>29</v>
      </c>
      <c r="E2" s="47" t="s">
        <v>30</v>
      </c>
      <c r="F2" s="47" t="s">
        <v>31</v>
      </c>
      <c r="G2" s="48">
        <v>46082.3333333333</v>
      </c>
      <c r="H2" s="46">
        <v>4478063</v>
      </c>
      <c r="I2" s="47" t="s">
        <v>317</v>
      </c>
      <c r="J2" s="47" t="s">
        <v>2</v>
      </c>
      <c r="K2" s="47" t="s">
        <v>318</v>
      </c>
      <c r="L2" s="49">
        <v>43374</v>
      </c>
      <c r="M2" s="48">
        <v>46103.8322222222</v>
      </c>
      <c r="N2" s="46">
        <v>68613</v>
      </c>
      <c r="O2" s="47" t="s">
        <v>319</v>
      </c>
      <c r="P2" s="47" t="s">
        <v>320</v>
      </c>
      <c r="Q2" s="47" t="s">
        <v>321</v>
      </c>
      <c r="R2" s="47" t="s">
        <v>322</v>
      </c>
      <c r="S2" s="47" t="s">
        <v>322</v>
      </c>
      <c r="T2" s="47" t="s">
        <v>323</v>
      </c>
      <c r="U2" s="47" t="s">
        <v>324</v>
      </c>
      <c r="V2" s="48">
        <v>46111.4740046296</v>
      </c>
      <c r="W2" s="47" t="s">
        <v>325</v>
      </c>
      <c r="X2" s="47" t="s">
        <v>326</v>
      </c>
      <c r="Y2" s="47" t="s">
        <v>327</v>
      </c>
      <c r="Z2" s="46">
        <v>6385</v>
      </c>
      <c r="AA2" s="46">
        <v>17</v>
      </c>
      <c r="AB2" s="47" t="s">
        <v>328</v>
      </c>
      <c r="AC2" s="47"/>
      <c r="AD2" s="47" t="s">
        <v>329</v>
      </c>
      <c r="AE2" s="47" t="s">
        <v>330</v>
      </c>
      <c r="AF2" s="51">
        <f>COUNTIFS(C:C,C2)</f>
        <v>4</v>
      </c>
      <c r="AG2" s="42" t="str">
        <f>VLOOKUP(C2,'Q1续费排名（4月~7月免检）'!F:Q,12,0)</f>
        <v>4月退费学员人数大于等于3，取消5月免检</v>
      </c>
    </row>
    <row r="3" customHeight="1" spans="1:33">
      <c r="A3" s="46">
        <v>70131</v>
      </c>
      <c r="B3" s="46">
        <v>51061</v>
      </c>
      <c r="C3" s="47" t="s">
        <v>32</v>
      </c>
      <c r="D3" s="47" t="s">
        <v>29</v>
      </c>
      <c r="E3" s="47" t="s">
        <v>30</v>
      </c>
      <c r="F3" s="47" t="s">
        <v>31</v>
      </c>
      <c r="G3" s="48">
        <v>46127.8263888889</v>
      </c>
      <c r="H3" s="46">
        <v>4510830</v>
      </c>
      <c r="I3" s="47" t="s">
        <v>331</v>
      </c>
      <c r="J3" s="47" t="s">
        <v>332</v>
      </c>
      <c r="K3" s="47" t="s">
        <v>318</v>
      </c>
      <c r="L3" s="49">
        <v>44256</v>
      </c>
      <c r="M3" s="48">
        <v>46128.5583796296</v>
      </c>
      <c r="N3" s="46">
        <v>74418</v>
      </c>
      <c r="O3" s="47" t="s">
        <v>333</v>
      </c>
      <c r="P3" s="47" t="s">
        <v>320</v>
      </c>
      <c r="Q3" s="47" t="s">
        <v>334</v>
      </c>
      <c r="R3" s="47" t="s">
        <v>322</v>
      </c>
      <c r="S3" s="47" t="s">
        <v>322</v>
      </c>
      <c r="T3" s="47" t="s">
        <v>323</v>
      </c>
      <c r="U3" s="47" t="s">
        <v>324</v>
      </c>
      <c r="V3" s="48">
        <v>46132.4194675926</v>
      </c>
      <c r="W3" s="47" t="s">
        <v>335</v>
      </c>
      <c r="X3" s="47" t="s">
        <v>326</v>
      </c>
      <c r="Y3" s="47" t="s">
        <v>327</v>
      </c>
      <c r="Z3" s="46">
        <v>5188</v>
      </c>
      <c r="AA3" s="46">
        <v>2</v>
      </c>
      <c r="AB3" s="47" t="s">
        <v>336</v>
      </c>
      <c r="AC3" s="47"/>
      <c r="AD3" s="47" t="s">
        <v>337</v>
      </c>
      <c r="AE3" s="47"/>
      <c r="AF3" s="51">
        <f>COUNTIFS(C:C,C3)</f>
        <v>4</v>
      </c>
      <c r="AG3" s="42" t="str">
        <f>VLOOKUP(C3,'Q1续费排名（4月~7月免检）'!F:Q,12,0)</f>
        <v>4月退费学员人数大于等于3，取消5月免检</v>
      </c>
    </row>
    <row r="4" customHeight="1" spans="1:33">
      <c r="A4" s="46">
        <v>69907</v>
      </c>
      <c r="B4" s="46">
        <v>51061</v>
      </c>
      <c r="C4" s="47" t="s">
        <v>32</v>
      </c>
      <c r="D4" s="47" t="s">
        <v>29</v>
      </c>
      <c r="E4" s="47" t="s">
        <v>30</v>
      </c>
      <c r="F4" s="47" t="s">
        <v>31</v>
      </c>
      <c r="G4" s="48">
        <v>45976.3888888889</v>
      </c>
      <c r="H4" s="46">
        <v>3915609</v>
      </c>
      <c r="I4" s="47" t="s">
        <v>338</v>
      </c>
      <c r="J4" s="47" t="s">
        <v>2</v>
      </c>
      <c r="K4" s="47" t="s">
        <v>318</v>
      </c>
      <c r="L4" s="49">
        <v>42887</v>
      </c>
      <c r="M4" s="48">
        <v>46109.5589814815</v>
      </c>
      <c r="N4" s="46">
        <v>76339</v>
      </c>
      <c r="O4" s="47" t="s">
        <v>339</v>
      </c>
      <c r="P4" s="47" t="s">
        <v>320</v>
      </c>
      <c r="Q4" s="47" t="s">
        <v>321</v>
      </c>
      <c r="R4" s="47" t="s">
        <v>322</v>
      </c>
      <c r="S4" s="47" t="s">
        <v>322</v>
      </c>
      <c r="T4" s="47" t="s">
        <v>323</v>
      </c>
      <c r="U4" s="47" t="s">
        <v>324</v>
      </c>
      <c r="V4" s="48">
        <v>46119</v>
      </c>
      <c r="W4" s="47" t="s">
        <v>340</v>
      </c>
      <c r="X4" s="47" t="s">
        <v>341</v>
      </c>
      <c r="Y4" s="47" t="s">
        <v>342</v>
      </c>
      <c r="Z4" s="46">
        <v>2837.34</v>
      </c>
      <c r="AA4" s="46">
        <v>170</v>
      </c>
      <c r="AB4" s="47" t="s">
        <v>328</v>
      </c>
      <c r="AC4" s="47"/>
      <c r="AD4" s="47" t="s">
        <v>343</v>
      </c>
      <c r="AE4" s="47"/>
      <c r="AF4" s="51">
        <f>COUNTIFS(C:C,C4)</f>
        <v>4</v>
      </c>
      <c r="AG4" s="42" t="str">
        <f>VLOOKUP(C4,'Q1续费排名（4月~7月免检）'!F:Q,12,0)</f>
        <v>4月退费学员人数大于等于3，取消5月免检</v>
      </c>
    </row>
    <row r="5" customHeight="1" spans="1:33">
      <c r="A5" s="46">
        <v>69903</v>
      </c>
      <c r="B5" s="46">
        <v>51061</v>
      </c>
      <c r="C5" s="47" t="s">
        <v>32</v>
      </c>
      <c r="D5" s="47" t="s">
        <v>29</v>
      </c>
      <c r="E5" s="47" t="s">
        <v>30</v>
      </c>
      <c r="F5" s="47" t="s">
        <v>31</v>
      </c>
      <c r="G5" s="48">
        <v>46084.6944444444</v>
      </c>
      <c r="H5" s="46">
        <v>4370111</v>
      </c>
      <c r="I5" s="47" t="s">
        <v>344</v>
      </c>
      <c r="J5" s="47" t="s">
        <v>2</v>
      </c>
      <c r="K5" s="47" t="s">
        <v>345</v>
      </c>
      <c r="L5" s="49">
        <v>43070</v>
      </c>
      <c r="M5" s="48">
        <v>46109.3959837963</v>
      </c>
      <c r="N5" s="46">
        <v>63943</v>
      </c>
      <c r="O5" s="47" t="s">
        <v>346</v>
      </c>
      <c r="P5" s="47" t="s">
        <v>320</v>
      </c>
      <c r="Q5" s="47" t="s">
        <v>334</v>
      </c>
      <c r="R5" s="47" t="s">
        <v>322</v>
      </c>
      <c r="S5" s="47" t="s">
        <v>322</v>
      </c>
      <c r="T5" s="47" t="s">
        <v>323</v>
      </c>
      <c r="U5" s="47" t="s">
        <v>324</v>
      </c>
      <c r="V5" s="48">
        <v>46114.4717824074</v>
      </c>
      <c r="W5" s="47" t="s">
        <v>347</v>
      </c>
      <c r="X5" s="47" t="s">
        <v>326</v>
      </c>
      <c r="Y5" s="47" t="s">
        <v>342</v>
      </c>
      <c r="Z5" s="46">
        <v>5405.76</v>
      </c>
      <c r="AA5" s="46">
        <v>15</v>
      </c>
      <c r="AB5" s="47" t="s">
        <v>328</v>
      </c>
      <c r="AC5" s="47"/>
      <c r="AD5" s="47" t="s">
        <v>348</v>
      </c>
      <c r="AE5" s="47"/>
      <c r="AF5" s="51">
        <f>COUNTIFS(C:C,C5)</f>
        <v>4</v>
      </c>
      <c r="AG5" s="42" t="str">
        <f>VLOOKUP(C5,'Q1续费排名（4月~7月免检）'!F:Q,12,0)</f>
        <v>4月退费学员人数大于等于3，取消5月免检</v>
      </c>
    </row>
    <row r="6" customHeight="1" spans="1:33">
      <c r="A6" s="46">
        <v>69833</v>
      </c>
      <c r="B6" s="46">
        <v>6369</v>
      </c>
      <c r="C6" s="47" t="s">
        <v>71</v>
      </c>
      <c r="D6" s="47" t="s">
        <v>48</v>
      </c>
      <c r="E6" s="47" t="s">
        <v>49</v>
      </c>
      <c r="F6" s="47" t="s">
        <v>58</v>
      </c>
      <c r="G6" s="48">
        <v>46096.6944444444</v>
      </c>
      <c r="H6" s="46">
        <v>4432300</v>
      </c>
      <c r="I6" s="47" t="s">
        <v>349</v>
      </c>
      <c r="J6" s="47" t="s">
        <v>2</v>
      </c>
      <c r="K6" s="47" t="s">
        <v>318</v>
      </c>
      <c r="L6" s="49">
        <v>42763</v>
      </c>
      <c r="M6" s="48">
        <v>46105.6159490741</v>
      </c>
      <c r="N6" s="46">
        <v>74261</v>
      </c>
      <c r="O6" s="47" t="s">
        <v>350</v>
      </c>
      <c r="P6" s="47" t="s">
        <v>320</v>
      </c>
      <c r="Q6" s="47" t="s">
        <v>321</v>
      </c>
      <c r="R6" s="47" t="s">
        <v>322</v>
      </c>
      <c r="S6" s="47" t="s">
        <v>322</v>
      </c>
      <c r="T6" s="47" t="s">
        <v>323</v>
      </c>
      <c r="U6" s="47" t="s">
        <v>324</v>
      </c>
      <c r="V6" s="48">
        <v>46113.6558912037</v>
      </c>
      <c r="W6" s="47" t="s">
        <v>347</v>
      </c>
      <c r="X6" s="47" t="s">
        <v>341</v>
      </c>
      <c r="Y6" s="47" t="s">
        <v>351</v>
      </c>
      <c r="Z6" s="46">
        <v>6600</v>
      </c>
      <c r="AA6" s="46">
        <v>43</v>
      </c>
      <c r="AB6" s="47" t="s">
        <v>328</v>
      </c>
      <c r="AC6" s="47"/>
      <c r="AD6" s="47" t="s">
        <v>329</v>
      </c>
      <c r="AE6" s="47"/>
      <c r="AF6" s="51">
        <f>COUNTIFS(C:C,C6)</f>
        <v>1</v>
      </c>
      <c r="AG6" s="42" t="str">
        <f>VLOOKUP(C6,'Q1续费排名（4月~7月免检）'!F:Q,12,0)</f>
        <v>5月免检</v>
      </c>
    </row>
    <row r="7" customHeight="1" spans="1:33">
      <c r="A7" s="46">
        <v>69726</v>
      </c>
      <c r="B7" s="46">
        <v>50526</v>
      </c>
      <c r="C7" s="47" t="s">
        <v>78</v>
      </c>
      <c r="D7" s="47" t="s">
        <v>48</v>
      </c>
      <c r="E7" s="47" t="s">
        <v>49</v>
      </c>
      <c r="F7" s="47" t="s">
        <v>77</v>
      </c>
      <c r="G7" s="48">
        <v>46092.6944444444</v>
      </c>
      <c r="H7" s="46">
        <v>2770112</v>
      </c>
      <c r="I7" s="47" t="s">
        <v>352</v>
      </c>
      <c r="J7" s="47" t="s">
        <v>2</v>
      </c>
      <c r="K7" s="47" t="s">
        <v>345</v>
      </c>
      <c r="L7" s="49">
        <v>43952</v>
      </c>
      <c r="M7" s="48">
        <v>46093.3593981481</v>
      </c>
      <c r="N7" s="46">
        <v>61358</v>
      </c>
      <c r="O7" s="47" t="s">
        <v>353</v>
      </c>
      <c r="P7" s="47" t="s">
        <v>320</v>
      </c>
      <c r="Q7" s="47" t="s">
        <v>321</v>
      </c>
      <c r="R7" s="47" t="s">
        <v>322</v>
      </c>
      <c r="S7" s="47" t="s">
        <v>322</v>
      </c>
      <c r="T7" s="47" t="s">
        <v>323</v>
      </c>
      <c r="U7" s="47" t="s">
        <v>324</v>
      </c>
      <c r="V7" s="48">
        <v>46104.6294560185</v>
      </c>
      <c r="W7" s="47" t="s">
        <v>354</v>
      </c>
      <c r="X7" s="47" t="s">
        <v>341</v>
      </c>
      <c r="Y7" s="47" t="s">
        <v>355</v>
      </c>
      <c r="Z7" s="46">
        <v>2631.6</v>
      </c>
      <c r="AA7" s="46">
        <v>49</v>
      </c>
      <c r="AB7" s="47" t="s">
        <v>328</v>
      </c>
      <c r="AC7" s="47"/>
      <c r="AD7" s="47" t="s">
        <v>343</v>
      </c>
      <c r="AE7" s="47"/>
      <c r="AF7" s="51">
        <f>COUNTIFS(C:C,C7)</f>
        <v>1</v>
      </c>
      <c r="AG7" s="42" t="str">
        <f>VLOOKUP(C7,'Q1续费排名（4月~7月免检）'!F:Q,12,0)</f>
        <v>5月免检</v>
      </c>
    </row>
    <row r="8" customHeight="1" spans="1:33">
      <c r="A8" s="46">
        <v>69775</v>
      </c>
      <c r="B8" s="46">
        <v>3182</v>
      </c>
      <c r="C8" s="47" t="s">
        <v>50</v>
      </c>
      <c r="D8" s="47" t="s">
        <v>48</v>
      </c>
      <c r="E8" s="47" t="s">
        <v>49</v>
      </c>
      <c r="F8" s="47" t="s">
        <v>1</v>
      </c>
      <c r="G8" s="48">
        <v>46087.6944444444</v>
      </c>
      <c r="H8" s="46">
        <v>4500179</v>
      </c>
      <c r="I8" s="47" t="s">
        <v>356</v>
      </c>
      <c r="J8" s="47" t="s">
        <v>332</v>
      </c>
      <c r="K8" s="47" t="s">
        <v>318</v>
      </c>
      <c r="L8" s="49">
        <v>42406</v>
      </c>
      <c r="M8" s="48">
        <v>46098.5524768519</v>
      </c>
      <c r="N8" s="46">
        <v>75475</v>
      </c>
      <c r="O8" s="47" t="s">
        <v>357</v>
      </c>
      <c r="P8" s="47" t="s">
        <v>320</v>
      </c>
      <c r="Q8" s="47" t="s">
        <v>334</v>
      </c>
      <c r="R8" s="47" t="s">
        <v>322</v>
      </c>
      <c r="S8" s="47" t="s">
        <v>322</v>
      </c>
      <c r="T8" s="47" t="s">
        <v>323</v>
      </c>
      <c r="U8" s="47" t="s">
        <v>324</v>
      </c>
      <c r="V8" s="48">
        <v>46104</v>
      </c>
      <c r="W8" s="47" t="s">
        <v>358</v>
      </c>
      <c r="X8" s="47" t="s">
        <v>326</v>
      </c>
      <c r="Y8" s="47" t="s">
        <v>359</v>
      </c>
      <c r="Z8" s="46">
        <v>4888</v>
      </c>
      <c r="AA8" s="46">
        <v>2</v>
      </c>
      <c r="AB8" s="47" t="s">
        <v>336</v>
      </c>
      <c r="AC8" s="47"/>
      <c r="AD8" s="47" t="s">
        <v>337</v>
      </c>
      <c r="AE8" s="47"/>
      <c r="AF8" s="51">
        <f>COUNTIFS(C:C,C8)</f>
        <v>1</v>
      </c>
      <c r="AG8" s="42" t="str">
        <f>VLOOKUP(C8,'Q1续费排名（4月~7月免检）'!F:Q,12,0)</f>
        <v>5月免检</v>
      </c>
    </row>
    <row r="9" customHeight="1" spans="1:33">
      <c r="A9" s="46">
        <v>69900</v>
      </c>
      <c r="B9" s="46">
        <v>21563</v>
      </c>
      <c r="C9" s="47" t="s">
        <v>59</v>
      </c>
      <c r="D9" s="47" t="s">
        <v>48</v>
      </c>
      <c r="E9" s="47" t="s">
        <v>49</v>
      </c>
      <c r="F9" s="47" t="s">
        <v>58</v>
      </c>
      <c r="G9" s="48">
        <v>46102.5833333333</v>
      </c>
      <c r="H9" s="46">
        <v>4502867</v>
      </c>
      <c r="I9" s="47" t="s">
        <v>360</v>
      </c>
      <c r="J9" s="47" t="s">
        <v>332</v>
      </c>
      <c r="K9" s="47" t="s">
        <v>318</v>
      </c>
      <c r="L9" s="49">
        <v>43132</v>
      </c>
      <c r="M9" s="48">
        <v>46108.905150463</v>
      </c>
      <c r="N9" s="46">
        <v>71828</v>
      </c>
      <c r="O9" s="47" t="s">
        <v>361</v>
      </c>
      <c r="P9" s="47" t="s">
        <v>320</v>
      </c>
      <c r="Q9" s="47" t="s">
        <v>334</v>
      </c>
      <c r="R9" s="47" t="s">
        <v>322</v>
      </c>
      <c r="S9" s="47" t="s">
        <v>322</v>
      </c>
      <c r="T9" s="47" t="s">
        <v>323</v>
      </c>
      <c r="U9" s="47" t="s">
        <v>324</v>
      </c>
      <c r="V9" s="48">
        <v>46114.6241782407</v>
      </c>
      <c r="W9" s="47" t="s">
        <v>362</v>
      </c>
      <c r="X9" s="47" t="s">
        <v>341</v>
      </c>
      <c r="Y9" s="47" t="s">
        <v>363</v>
      </c>
      <c r="Z9" s="46">
        <v>4748</v>
      </c>
      <c r="AA9" s="46">
        <v>2</v>
      </c>
      <c r="AB9" s="47" t="s">
        <v>336</v>
      </c>
      <c r="AC9" s="47"/>
      <c r="AD9" s="47" t="s">
        <v>337</v>
      </c>
      <c r="AE9" s="47"/>
      <c r="AF9" s="51">
        <f>COUNTIFS(C:C,C9)</f>
        <v>1</v>
      </c>
      <c r="AG9" s="42" t="str">
        <f>VLOOKUP(C9,'Q1续费排名（4月~7月免检）'!F:Q,12,0)</f>
        <v>5月免检</v>
      </c>
    </row>
    <row r="10" customHeight="1" spans="1:33">
      <c r="A10" s="46">
        <v>69853</v>
      </c>
      <c r="B10" s="46">
        <v>26700</v>
      </c>
      <c r="C10" s="47" t="s">
        <v>40</v>
      </c>
      <c r="D10" s="47" t="s">
        <v>29</v>
      </c>
      <c r="E10" s="47" t="s">
        <v>30</v>
      </c>
      <c r="F10" s="47" t="s">
        <v>31</v>
      </c>
      <c r="G10" s="48">
        <v>46103.7708333333</v>
      </c>
      <c r="H10" s="46">
        <v>4501492</v>
      </c>
      <c r="I10" s="47" t="s">
        <v>364</v>
      </c>
      <c r="J10" s="47" t="s">
        <v>332</v>
      </c>
      <c r="K10" s="47" t="s">
        <v>318</v>
      </c>
      <c r="L10" s="49">
        <v>43405</v>
      </c>
      <c r="M10" s="48">
        <v>46106.5513657407</v>
      </c>
      <c r="N10" s="46">
        <v>75272</v>
      </c>
      <c r="O10" s="47" t="s">
        <v>365</v>
      </c>
      <c r="P10" s="47" t="s">
        <v>320</v>
      </c>
      <c r="Q10" s="47" t="s">
        <v>334</v>
      </c>
      <c r="R10" s="47" t="s">
        <v>322</v>
      </c>
      <c r="S10" s="47" t="s">
        <v>322</v>
      </c>
      <c r="T10" s="47" t="s">
        <v>323</v>
      </c>
      <c r="U10" s="47" t="s">
        <v>324</v>
      </c>
      <c r="V10" s="48">
        <v>46106.7271759259</v>
      </c>
      <c r="W10" s="47" t="s">
        <v>366</v>
      </c>
      <c r="X10" s="47" t="s">
        <v>341</v>
      </c>
      <c r="Y10" s="47" t="s">
        <v>351</v>
      </c>
      <c r="Z10" s="46">
        <v>4399.2</v>
      </c>
      <c r="AA10" s="46">
        <v>4</v>
      </c>
      <c r="AB10" s="47" t="s">
        <v>336</v>
      </c>
      <c r="AC10" s="47"/>
      <c r="AD10" s="47" t="s">
        <v>337</v>
      </c>
      <c r="AE10" s="47"/>
      <c r="AF10" s="51">
        <f>COUNTIFS(C:C,C10)</f>
        <v>1</v>
      </c>
      <c r="AG10" s="42" t="str">
        <f>VLOOKUP(C10,'Q1续费排名（4月~7月免检）'!F:Q,12,0)</f>
        <v>5月免检</v>
      </c>
    </row>
    <row r="11" customHeight="1" spans="1:33">
      <c r="A11" s="46">
        <v>70057</v>
      </c>
      <c r="B11" s="46">
        <v>21949</v>
      </c>
      <c r="C11" s="47" t="s">
        <v>43</v>
      </c>
      <c r="D11" s="47" t="s">
        <v>29</v>
      </c>
      <c r="E11" s="47" t="s">
        <v>41</v>
      </c>
      <c r="F11" s="47" t="s">
        <v>42</v>
      </c>
      <c r="G11" s="48">
        <v>46114.2777777778</v>
      </c>
      <c r="H11" s="46">
        <v>4487990</v>
      </c>
      <c r="I11" s="47" t="s">
        <v>367</v>
      </c>
      <c r="J11" s="47" t="s">
        <v>332</v>
      </c>
      <c r="K11" s="47" t="s">
        <v>345</v>
      </c>
      <c r="L11" s="49">
        <v>44197</v>
      </c>
      <c r="M11" s="48">
        <v>46120.8203356481</v>
      </c>
      <c r="N11" s="46">
        <v>68988</v>
      </c>
      <c r="O11" s="47" t="s">
        <v>368</v>
      </c>
      <c r="P11" s="47" t="s">
        <v>369</v>
      </c>
      <c r="Q11" s="47" t="s">
        <v>334</v>
      </c>
      <c r="R11" s="47" t="s">
        <v>322</v>
      </c>
      <c r="S11" s="47" t="s">
        <v>322</v>
      </c>
      <c r="T11" s="47" t="s">
        <v>323</v>
      </c>
      <c r="U11" s="47" t="s">
        <v>324</v>
      </c>
      <c r="V11" s="48">
        <v>46121.5855324074</v>
      </c>
      <c r="W11" s="47" t="s">
        <v>347</v>
      </c>
      <c r="X11" s="47" t="s">
        <v>326</v>
      </c>
      <c r="Y11" s="47" t="s">
        <v>370</v>
      </c>
      <c r="Z11" s="46">
        <v>5408</v>
      </c>
      <c r="AA11" s="46">
        <v>3</v>
      </c>
      <c r="AB11" s="47" t="s">
        <v>336</v>
      </c>
      <c r="AC11" s="47"/>
      <c r="AD11" s="47" t="s">
        <v>337</v>
      </c>
      <c r="AE11" s="47"/>
      <c r="AF11" s="51">
        <f>COUNTIFS(C:C,C11)</f>
        <v>1</v>
      </c>
      <c r="AG11" s="42" t="str">
        <f>VLOOKUP(C11,'Q1续费排名（4月~7月免检）'!F:Q,12,0)</f>
        <v>5月免检</v>
      </c>
    </row>
    <row r="12" customHeight="1" spans="1:33">
      <c r="A12" s="46">
        <v>70039</v>
      </c>
      <c r="B12" s="46">
        <v>62362</v>
      </c>
      <c r="C12" s="47" t="s">
        <v>47</v>
      </c>
      <c r="D12" s="47" t="s">
        <v>44</v>
      </c>
      <c r="E12" s="47" t="s">
        <v>45</v>
      </c>
      <c r="F12" s="47" t="s">
        <v>46</v>
      </c>
      <c r="G12" s="48">
        <v>46103.9930555556</v>
      </c>
      <c r="H12" s="46">
        <v>4478993</v>
      </c>
      <c r="I12" s="47" t="s">
        <v>371</v>
      </c>
      <c r="J12" s="47" t="s">
        <v>2</v>
      </c>
      <c r="K12" s="47" t="s">
        <v>345</v>
      </c>
      <c r="L12" s="49">
        <v>42917</v>
      </c>
      <c r="M12" s="48">
        <v>46119.4118981482</v>
      </c>
      <c r="N12" s="46">
        <v>69998</v>
      </c>
      <c r="O12" s="47" t="s">
        <v>372</v>
      </c>
      <c r="P12" s="47" t="s">
        <v>320</v>
      </c>
      <c r="Q12" s="47" t="s">
        <v>321</v>
      </c>
      <c r="R12" s="47" t="s">
        <v>322</v>
      </c>
      <c r="S12" s="47" t="s">
        <v>322</v>
      </c>
      <c r="T12" s="47" t="s">
        <v>323</v>
      </c>
      <c r="U12" s="47" t="s">
        <v>324</v>
      </c>
      <c r="V12" s="48">
        <v>46119.57625</v>
      </c>
      <c r="W12" s="47" t="s">
        <v>347</v>
      </c>
      <c r="X12" s="47" t="s">
        <v>326</v>
      </c>
      <c r="Y12" s="47" t="s">
        <v>370</v>
      </c>
      <c r="Z12" s="46">
        <v>4466</v>
      </c>
      <c r="AA12" s="46">
        <v>22</v>
      </c>
      <c r="AB12" s="47" t="s">
        <v>328</v>
      </c>
      <c r="AC12" s="47"/>
      <c r="AD12" s="47" t="s">
        <v>329</v>
      </c>
      <c r="AE12" s="47"/>
      <c r="AF12" s="51">
        <f>COUNTIFS(C:C,C12)</f>
        <v>1</v>
      </c>
      <c r="AG12" s="42" t="str">
        <f>VLOOKUP(C12,'Q1续费排名（4月~7月免检）'!F:Q,12,0)</f>
        <v>5月免检</v>
      </c>
    </row>
    <row r="13" customHeight="1" spans="1:33">
      <c r="A13" s="46">
        <v>69759</v>
      </c>
      <c r="B13" s="46">
        <v>6249</v>
      </c>
      <c r="C13" s="47" t="s">
        <v>63</v>
      </c>
      <c r="D13" s="47" t="s">
        <v>48</v>
      </c>
      <c r="E13" s="47" t="s">
        <v>49</v>
      </c>
      <c r="F13" s="47" t="s">
        <v>54</v>
      </c>
      <c r="G13" s="48">
        <v>46084.7708333333</v>
      </c>
      <c r="H13" s="46">
        <v>4500146</v>
      </c>
      <c r="I13" s="47" t="s">
        <v>373</v>
      </c>
      <c r="J13" s="47" t="s">
        <v>332</v>
      </c>
      <c r="K13" s="47" t="s">
        <v>345</v>
      </c>
      <c r="L13" s="49">
        <v>44357</v>
      </c>
      <c r="M13" s="48">
        <v>46096.5298032407</v>
      </c>
      <c r="N13" s="46">
        <v>68747</v>
      </c>
      <c r="O13" s="47" t="s">
        <v>374</v>
      </c>
      <c r="P13" s="47" t="s">
        <v>320</v>
      </c>
      <c r="Q13" s="47" t="s">
        <v>334</v>
      </c>
      <c r="R13" s="47" t="s">
        <v>322</v>
      </c>
      <c r="S13" s="47" t="s">
        <v>322</v>
      </c>
      <c r="T13" s="47" t="s">
        <v>323</v>
      </c>
      <c r="U13" s="47" t="s">
        <v>324</v>
      </c>
      <c r="V13" s="48">
        <v>46104</v>
      </c>
      <c r="W13" s="47" t="s">
        <v>375</v>
      </c>
      <c r="X13" s="47" t="s">
        <v>341</v>
      </c>
      <c r="Y13" s="47" t="s">
        <v>363</v>
      </c>
      <c r="Z13" s="46">
        <v>4888</v>
      </c>
      <c r="AA13" s="46">
        <v>2</v>
      </c>
      <c r="AB13" s="47" t="s">
        <v>336</v>
      </c>
      <c r="AC13" s="47"/>
      <c r="AD13" s="47" t="s">
        <v>337</v>
      </c>
      <c r="AE13" s="47"/>
      <c r="AF13" s="51">
        <f>COUNTIFS(C:C,C13)</f>
        <v>1</v>
      </c>
      <c r="AG13" s="42" t="str">
        <f>VLOOKUP(C13,'Q1续费排名（4月~7月免检）'!F:Q,12,0)</f>
        <v>5月免检</v>
      </c>
    </row>
    <row r="14" customHeight="1" spans="1:33">
      <c r="A14" s="46">
        <v>69884</v>
      </c>
      <c r="B14" s="46">
        <v>25708</v>
      </c>
      <c r="C14" s="47" t="s">
        <v>53</v>
      </c>
      <c r="D14" s="47" t="s">
        <v>29</v>
      </c>
      <c r="E14" s="47" t="s">
        <v>51</v>
      </c>
      <c r="F14" s="47" t="s">
        <v>52</v>
      </c>
      <c r="G14" s="48">
        <v>45485.8263888889</v>
      </c>
      <c r="H14" s="46">
        <v>174624</v>
      </c>
      <c r="I14" s="47" t="s">
        <v>376</v>
      </c>
      <c r="J14" s="47" t="s">
        <v>2</v>
      </c>
      <c r="K14" s="47" t="s">
        <v>318</v>
      </c>
      <c r="L14" s="49">
        <v>40848</v>
      </c>
      <c r="M14" s="48">
        <v>46107.7084606482</v>
      </c>
      <c r="N14" s="46">
        <v>69068</v>
      </c>
      <c r="O14" s="47" t="s">
        <v>377</v>
      </c>
      <c r="P14" s="47" t="s">
        <v>320</v>
      </c>
      <c r="Q14" s="47" t="s">
        <v>321</v>
      </c>
      <c r="R14" s="47" t="s">
        <v>322</v>
      </c>
      <c r="S14" s="47" t="s">
        <v>322</v>
      </c>
      <c r="T14" s="47" t="s">
        <v>323</v>
      </c>
      <c r="U14" s="47" t="s">
        <v>324</v>
      </c>
      <c r="V14" s="48">
        <v>46119</v>
      </c>
      <c r="W14" s="47" t="s">
        <v>378</v>
      </c>
      <c r="X14" s="47" t="s">
        <v>326</v>
      </c>
      <c r="Y14" s="47" t="s">
        <v>342</v>
      </c>
      <c r="Z14" s="46">
        <v>2379.6</v>
      </c>
      <c r="AA14" s="46">
        <v>316</v>
      </c>
      <c r="AB14" s="47" t="s">
        <v>328</v>
      </c>
      <c r="AC14" s="47"/>
      <c r="AD14" s="47" t="s">
        <v>343</v>
      </c>
      <c r="AE14" s="47"/>
      <c r="AF14" s="51">
        <f>COUNTIFS(C:C,C14)</f>
        <v>1</v>
      </c>
      <c r="AG14" s="42" t="str">
        <f>VLOOKUP(C14,'Q1续费排名（4月~7月免检）'!F:Q,12,0)</f>
        <v>5月免检</v>
      </c>
    </row>
    <row r="15" customHeight="1" spans="1:33">
      <c r="A15" s="46">
        <v>69761</v>
      </c>
      <c r="B15" s="46">
        <v>23225</v>
      </c>
      <c r="C15" s="47" t="s">
        <v>62</v>
      </c>
      <c r="D15" s="47" t="s">
        <v>29</v>
      </c>
      <c r="E15" s="47" t="s">
        <v>30</v>
      </c>
      <c r="F15" s="47" t="s">
        <v>61</v>
      </c>
      <c r="G15" s="48">
        <v>45885.8263888889</v>
      </c>
      <c r="H15" s="46">
        <v>227905</v>
      </c>
      <c r="I15" s="47" t="s">
        <v>379</v>
      </c>
      <c r="J15" s="47" t="s">
        <v>2</v>
      </c>
      <c r="K15" s="47" t="s">
        <v>318</v>
      </c>
      <c r="L15" s="49">
        <v>41019</v>
      </c>
      <c r="M15" s="48">
        <v>46096.6030208333</v>
      </c>
      <c r="N15" s="46">
        <v>69833</v>
      </c>
      <c r="O15" s="47" t="s">
        <v>380</v>
      </c>
      <c r="P15" s="47" t="s">
        <v>320</v>
      </c>
      <c r="Q15" s="47" t="s">
        <v>321</v>
      </c>
      <c r="R15" s="47" t="s">
        <v>322</v>
      </c>
      <c r="S15" s="47" t="s">
        <v>322</v>
      </c>
      <c r="T15" s="47" t="s">
        <v>323</v>
      </c>
      <c r="U15" s="47" t="s">
        <v>324</v>
      </c>
      <c r="V15" s="48">
        <v>46104</v>
      </c>
      <c r="W15" s="47" t="s">
        <v>381</v>
      </c>
      <c r="X15" s="47" t="s">
        <v>326</v>
      </c>
      <c r="Y15" s="47" t="s">
        <v>342</v>
      </c>
      <c r="Z15" s="46">
        <v>4415.48</v>
      </c>
      <c r="AA15" s="46">
        <v>530</v>
      </c>
      <c r="AB15" s="47" t="s">
        <v>328</v>
      </c>
      <c r="AC15" s="47"/>
      <c r="AD15" s="47" t="s">
        <v>329</v>
      </c>
      <c r="AE15" s="47"/>
      <c r="AF15" s="51">
        <f>COUNTIFS(C:C,C15)</f>
        <v>1</v>
      </c>
      <c r="AG15" s="42" t="str">
        <f>VLOOKUP(C15,'Q1续费排名（4月~7月免检）'!F:Q,12,0)</f>
        <v>5月免检</v>
      </c>
    </row>
  </sheetData>
  <autoFilter ref="A1:AG15">
    <sortState ref="A1:AG15">
      <sortCondition ref="C1"/>
    </sortState>
    <extLst/>
  </autoFilter>
  <conditionalFormatting sqref="C$1:C$1048576">
    <cfRule type="duplicateValues" dxfId="5" priority="4"/>
  </conditionalFormatting>
  <conditionalFormatting sqref="H$1:H$1048576">
    <cfRule type="duplicateValues" dxfId="5" priority="1"/>
    <cfRule type="duplicateValues" dxfId="5" priority="5"/>
    <cfRule type="duplicateValues" dxfId="5" priority="7"/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AG12"/>
  <sheetViews>
    <sheetView workbookViewId="0">
      <selection activeCell="V15" sqref="V15:V16"/>
    </sheetView>
  </sheetViews>
  <sheetFormatPr defaultColWidth="10" defaultRowHeight="17" customHeight="1"/>
  <cols>
    <col min="1" max="1" width="6.37962962962963" style="13" customWidth="1"/>
    <col min="2" max="2" width="7.62962962962963" style="13" hidden="1" customWidth="1"/>
    <col min="3" max="3" width="8.25" style="14" customWidth="1"/>
    <col min="4" max="4" width="4.75" style="13" hidden="1" customWidth="1"/>
    <col min="5" max="5" width="2.12962962962963" style="13" hidden="1" customWidth="1"/>
    <col min="6" max="7" width="2.5" style="13" hidden="1" customWidth="1"/>
    <col min="8" max="8" width="5.37962962962963" style="14" hidden="1" customWidth="1"/>
    <col min="9" max="9" width="16.3796296296296" style="14" customWidth="1"/>
    <col min="10" max="10" width="22.8796296296296" style="14" customWidth="1"/>
    <col min="11" max="11" width="4" style="14" hidden="1" customWidth="1"/>
    <col min="12" max="12" width="7" style="14" hidden="1" customWidth="1"/>
    <col min="13" max="13" width="7.5" style="13" customWidth="1"/>
    <col min="14" max="14" width="4" style="13" hidden="1" customWidth="1"/>
    <col min="15" max="15" width="10.75" style="13" customWidth="1"/>
    <col min="16" max="16" width="4.25" style="13" hidden="1" customWidth="1"/>
    <col min="17" max="17" width="10.3796296296296" style="13" hidden="1" customWidth="1"/>
    <col min="18" max="18" width="5.87962962962963" style="13" customWidth="1"/>
    <col min="19" max="19" width="3.62962962962963" style="15" customWidth="1"/>
    <col min="20" max="20" width="3.62962962962963" style="16" customWidth="1"/>
    <col min="21" max="21" width="23.1296296296296" style="16" customWidth="1"/>
    <col min="22" max="22" width="21.1296296296296" style="13" customWidth="1"/>
    <col min="23" max="23" width="4.5" style="14" customWidth="1"/>
    <col min="24" max="24" width="31.6296296296296" style="14" customWidth="1"/>
    <col min="25" max="25" width="2.75" style="15" hidden="1" customWidth="1"/>
    <col min="26" max="26" width="2.87962962962963" style="14" hidden="1" customWidth="1"/>
    <col min="27" max="28" width="2.87962962962963" style="17" hidden="1" customWidth="1"/>
    <col min="29" max="29" width="9.62962962962963" style="17" customWidth="1"/>
    <col min="30" max="30" width="20.8796296296296" style="17" customWidth="1"/>
    <col min="31" max="31" width="4.87962962962963" style="17" customWidth="1"/>
    <col min="32" max="32" width="3.5" style="17" customWidth="1"/>
    <col min="33" max="33" width="10" style="17" hidden="1" customWidth="1"/>
    <col min="34" max="16384" width="10" style="17"/>
  </cols>
  <sheetData>
    <row r="1" ht="57" customHeight="1" spans="1:33">
      <c r="A1" s="18" t="s">
        <v>382</v>
      </c>
      <c r="B1" s="18" t="s">
        <v>383</v>
      </c>
      <c r="C1" s="18" t="s">
        <v>291</v>
      </c>
      <c r="D1" s="18" t="s">
        <v>292</v>
      </c>
      <c r="E1" s="18" t="s">
        <v>384</v>
      </c>
      <c r="F1" s="18" t="s">
        <v>385</v>
      </c>
      <c r="G1" s="18" t="s">
        <v>386</v>
      </c>
      <c r="H1" s="18" t="s">
        <v>387</v>
      </c>
      <c r="I1" s="18" t="s">
        <v>388</v>
      </c>
      <c r="J1" s="18" t="s">
        <v>389</v>
      </c>
      <c r="K1" s="18" t="s">
        <v>390</v>
      </c>
      <c r="L1" s="18" t="s">
        <v>391</v>
      </c>
      <c r="M1" s="18" t="s">
        <v>392</v>
      </c>
      <c r="N1" s="18" t="s">
        <v>393</v>
      </c>
      <c r="O1" s="18" t="s">
        <v>7</v>
      </c>
      <c r="P1" s="18" t="s">
        <v>8</v>
      </c>
      <c r="Q1" s="18" t="s">
        <v>9</v>
      </c>
      <c r="R1" s="24" t="s">
        <v>394</v>
      </c>
      <c r="S1" s="25" t="s">
        <v>395</v>
      </c>
      <c r="T1" s="25" t="s">
        <v>396</v>
      </c>
      <c r="U1" s="25" t="s">
        <v>397</v>
      </c>
      <c r="V1" s="25" t="s">
        <v>398</v>
      </c>
      <c r="W1" s="26" t="s">
        <v>399</v>
      </c>
      <c r="X1" s="27" t="s">
        <v>400</v>
      </c>
      <c r="Y1" s="27" t="s">
        <v>401</v>
      </c>
      <c r="Z1" s="31" t="s">
        <v>402</v>
      </c>
      <c r="AA1" s="27" t="s">
        <v>403</v>
      </c>
      <c r="AB1" s="27" t="s">
        <v>404</v>
      </c>
      <c r="AC1" s="32" t="s">
        <v>405</v>
      </c>
      <c r="AD1" s="33" t="s">
        <v>406</v>
      </c>
      <c r="AE1" s="33" t="s">
        <v>407</v>
      </c>
      <c r="AF1" s="27" t="s">
        <v>408</v>
      </c>
      <c r="AG1" s="41" t="s">
        <v>409</v>
      </c>
    </row>
    <row r="2" customHeight="1" spans="1:33">
      <c r="A2" s="19"/>
      <c r="B2" s="20"/>
      <c r="C2" s="21"/>
      <c r="D2" s="21"/>
      <c r="E2" s="21"/>
      <c r="F2" s="21"/>
      <c r="G2" s="21"/>
      <c r="H2" s="21"/>
      <c r="I2" s="22"/>
      <c r="J2" s="23"/>
      <c r="K2" s="21"/>
      <c r="L2" s="21"/>
      <c r="M2" s="21"/>
      <c r="N2" s="21"/>
      <c r="O2" s="21"/>
      <c r="P2" s="21"/>
      <c r="Q2" s="21"/>
      <c r="R2" s="21"/>
      <c r="S2" s="21"/>
      <c r="T2" s="21"/>
      <c r="U2" s="28"/>
      <c r="V2" s="28"/>
      <c r="W2" s="21"/>
      <c r="X2" s="29"/>
      <c r="Y2" s="34"/>
      <c r="Z2" s="35"/>
      <c r="AA2" s="36"/>
      <c r="AB2" s="37"/>
      <c r="AC2" s="38"/>
      <c r="AD2" s="39"/>
      <c r="AE2" s="23"/>
      <c r="AF2" s="40"/>
      <c r="AG2" s="17" t="e">
        <f>VLOOKUP(M2,'Q1续费排名（4月~7月免检）'!F:P,11,0)</f>
        <v>#N/A</v>
      </c>
    </row>
    <row r="3" customHeight="1" spans="1:33">
      <c r="A3" s="19"/>
      <c r="B3" s="20"/>
      <c r="C3" s="21"/>
      <c r="D3" s="21"/>
      <c r="E3" s="21"/>
      <c r="F3" s="21"/>
      <c r="G3" s="21"/>
      <c r="H3" s="21"/>
      <c r="I3" s="22"/>
      <c r="J3" s="23"/>
      <c r="K3" s="21"/>
      <c r="L3" s="21"/>
      <c r="M3" s="21"/>
      <c r="N3" s="21"/>
      <c r="O3" s="21"/>
      <c r="P3" s="21"/>
      <c r="Q3" s="21"/>
      <c r="R3" s="21"/>
      <c r="S3" s="21"/>
      <c r="T3" s="21"/>
      <c r="U3" s="28"/>
      <c r="V3" s="28"/>
      <c r="W3" s="21"/>
      <c r="X3" s="29"/>
      <c r="Y3" s="34"/>
      <c r="Z3" s="35"/>
      <c r="AA3" s="36"/>
      <c r="AB3" s="37"/>
      <c r="AC3" s="38"/>
      <c r="AD3" s="39"/>
      <c r="AE3" s="23"/>
      <c r="AF3" s="40"/>
      <c r="AG3" s="17" t="e">
        <f>VLOOKUP(M3,'Q1续费排名（4月~7月免检）'!F:P,11,0)</f>
        <v>#N/A</v>
      </c>
    </row>
    <row r="4" customHeight="1" spans="1:33">
      <c r="A4" s="19"/>
      <c r="B4" s="20"/>
      <c r="C4" s="21"/>
      <c r="D4" s="21"/>
      <c r="E4" s="21"/>
      <c r="F4" s="21"/>
      <c r="G4" s="21"/>
      <c r="H4" s="21"/>
      <c r="I4" s="22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30"/>
      <c r="V4" s="30"/>
      <c r="W4" s="21"/>
      <c r="X4" s="29"/>
      <c r="Y4" s="34"/>
      <c r="Z4" s="35"/>
      <c r="AA4" s="36"/>
      <c r="AB4" s="34"/>
      <c r="AC4" s="38"/>
      <c r="AD4" s="39"/>
      <c r="AE4" s="23"/>
      <c r="AF4" s="21"/>
      <c r="AG4" s="17" t="e">
        <f>VLOOKUP(M4,'Q1续费排名（4月~7月免检）'!F:P,11,0)</f>
        <v>#N/A</v>
      </c>
    </row>
    <row r="5" customHeight="1" spans="1:33">
      <c r="A5" s="19"/>
      <c r="B5" s="20"/>
      <c r="C5" s="21"/>
      <c r="D5" s="21"/>
      <c r="E5" s="21"/>
      <c r="F5" s="21"/>
      <c r="G5" s="21"/>
      <c r="H5" s="21"/>
      <c r="I5" s="22"/>
      <c r="J5" s="23"/>
      <c r="K5" s="21"/>
      <c r="L5" s="21"/>
      <c r="M5" s="21"/>
      <c r="N5" s="21"/>
      <c r="O5" s="21"/>
      <c r="P5" s="21"/>
      <c r="Q5" s="21"/>
      <c r="R5" s="21"/>
      <c r="S5" s="21"/>
      <c r="T5" s="21"/>
      <c r="U5" s="28"/>
      <c r="V5" s="28"/>
      <c r="W5" s="21"/>
      <c r="X5" s="29"/>
      <c r="Y5" s="34"/>
      <c r="Z5" s="35"/>
      <c r="AA5" s="28"/>
      <c r="AB5" s="37"/>
      <c r="AC5" s="38"/>
      <c r="AD5" s="28"/>
      <c r="AE5" s="23"/>
      <c r="AF5" s="40"/>
      <c r="AG5" s="17" t="e">
        <f>VLOOKUP(M5,'Q1续费排名（4月~7月免检）'!F:P,11,0)</f>
        <v>#N/A</v>
      </c>
    </row>
    <row r="6" customHeight="1" spans="1:33">
      <c r="A6" s="19"/>
      <c r="B6" s="20"/>
      <c r="C6" s="21"/>
      <c r="D6" s="21"/>
      <c r="E6" s="21"/>
      <c r="F6" s="21"/>
      <c r="G6" s="21"/>
      <c r="H6" s="21"/>
      <c r="I6" s="22"/>
      <c r="J6" s="23"/>
      <c r="K6" s="21"/>
      <c r="L6" s="21"/>
      <c r="M6" s="21"/>
      <c r="N6" s="21"/>
      <c r="O6" s="21"/>
      <c r="P6" s="21"/>
      <c r="Q6" s="21"/>
      <c r="R6" s="21"/>
      <c r="S6" s="21"/>
      <c r="T6" s="21"/>
      <c r="U6" s="28"/>
      <c r="V6" s="28"/>
      <c r="W6" s="21"/>
      <c r="X6" s="29"/>
      <c r="Y6" s="34"/>
      <c r="Z6" s="35"/>
      <c r="AA6" s="36"/>
      <c r="AB6" s="37"/>
      <c r="AC6" s="38"/>
      <c r="AD6" s="39"/>
      <c r="AE6" s="23"/>
      <c r="AF6" s="40"/>
      <c r="AG6" s="17" t="e">
        <f>VLOOKUP(M6,'Q1续费排名（4月~7月免检）'!F:P,11,0)</f>
        <v>#N/A</v>
      </c>
    </row>
    <row r="7" customHeight="1" spans="1:33">
      <c r="A7" s="19"/>
      <c r="B7" s="20"/>
      <c r="C7" s="21"/>
      <c r="D7" s="21"/>
      <c r="E7" s="21"/>
      <c r="F7" s="21"/>
      <c r="G7" s="21"/>
      <c r="H7" s="21"/>
      <c r="I7" s="22"/>
      <c r="J7" s="23"/>
      <c r="K7" s="21"/>
      <c r="L7" s="21"/>
      <c r="M7" s="21"/>
      <c r="N7" s="21"/>
      <c r="O7" s="21"/>
      <c r="P7" s="21"/>
      <c r="Q7" s="21"/>
      <c r="R7" s="21"/>
      <c r="S7" s="21"/>
      <c r="T7" s="21"/>
      <c r="U7" s="28"/>
      <c r="V7" s="28"/>
      <c r="W7" s="21"/>
      <c r="X7" s="29"/>
      <c r="Y7" s="34"/>
      <c r="Z7" s="35"/>
      <c r="AA7" s="36"/>
      <c r="AB7" s="37"/>
      <c r="AC7" s="38"/>
      <c r="AD7" s="39"/>
      <c r="AE7" s="23"/>
      <c r="AF7" s="40"/>
      <c r="AG7" s="17" t="e">
        <f>VLOOKUP(M7,'Q1续费排名（4月~7月免检）'!F:P,11,0)</f>
        <v>#N/A</v>
      </c>
    </row>
    <row r="8" customHeight="1" spans="1:33">
      <c r="A8" s="19"/>
      <c r="B8" s="20"/>
      <c r="C8" s="21"/>
      <c r="D8" s="21"/>
      <c r="E8" s="21"/>
      <c r="F8" s="21"/>
      <c r="G8" s="21"/>
      <c r="H8" s="21"/>
      <c r="I8" s="22"/>
      <c r="J8" s="23"/>
      <c r="K8" s="21"/>
      <c r="L8" s="21"/>
      <c r="M8" s="21"/>
      <c r="N8" s="21"/>
      <c r="O8" s="21"/>
      <c r="P8" s="21"/>
      <c r="Q8" s="21"/>
      <c r="R8" s="21"/>
      <c r="S8" s="21"/>
      <c r="T8" s="21"/>
      <c r="U8" s="28"/>
      <c r="V8" s="28"/>
      <c r="W8" s="21"/>
      <c r="X8" s="29"/>
      <c r="Y8" s="34"/>
      <c r="Z8" s="35"/>
      <c r="AA8" s="36"/>
      <c r="AB8" s="37"/>
      <c r="AC8" s="38"/>
      <c r="AD8" s="39"/>
      <c r="AE8" s="23"/>
      <c r="AF8" s="40"/>
      <c r="AG8" s="17" t="e">
        <f>VLOOKUP(M8,'Q1续费排名（4月~7月免检）'!F:P,11,0)</f>
        <v>#N/A</v>
      </c>
    </row>
    <row r="9" customHeight="1" spans="1:33">
      <c r="A9" s="19"/>
      <c r="B9" s="20"/>
      <c r="C9" s="21"/>
      <c r="D9" s="21"/>
      <c r="E9" s="21"/>
      <c r="F9" s="21"/>
      <c r="G9" s="21"/>
      <c r="H9" s="21"/>
      <c r="I9" s="22"/>
      <c r="J9" s="23"/>
      <c r="K9" s="21"/>
      <c r="L9" s="21"/>
      <c r="M9" s="21"/>
      <c r="N9" s="21"/>
      <c r="O9" s="21"/>
      <c r="P9" s="21"/>
      <c r="Q9" s="21"/>
      <c r="R9" s="21"/>
      <c r="S9" s="21"/>
      <c r="T9" s="21"/>
      <c r="U9" s="28"/>
      <c r="V9" s="28"/>
      <c r="W9" s="21"/>
      <c r="X9" s="29"/>
      <c r="Y9" s="34"/>
      <c r="Z9" s="35"/>
      <c r="AA9" s="36"/>
      <c r="AB9" s="37"/>
      <c r="AC9" s="38"/>
      <c r="AD9" s="39"/>
      <c r="AE9" s="23"/>
      <c r="AF9" s="40"/>
      <c r="AG9" s="17" t="e">
        <f>VLOOKUP(M9,'Q1续费排名（4月~7月免检）'!F:P,11,0)</f>
        <v>#N/A</v>
      </c>
    </row>
    <row r="10" customHeight="1" spans="1:33">
      <c r="A10" s="19"/>
      <c r="B10" s="20"/>
      <c r="C10" s="21"/>
      <c r="D10" s="21"/>
      <c r="E10" s="21"/>
      <c r="F10" s="21"/>
      <c r="G10" s="21"/>
      <c r="H10" s="21"/>
      <c r="I10" s="22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30"/>
      <c r="V10" s="30"/>
      <c r="W10" s="21"/>
      <c r="X10" s="29"/>
      <c r="Y10" s="34"/>
      <c r="Z10" s="35"/>
      <c r="AA10" s="21"/>
      <c r="AB10" s="34"/>
      <c r="AC10" s="38"/>
      <c r="AD10" s="29"/>
      <c r="AE10" s="23"/>
      <c r="AF10" s="21"/>
      <c r="AG10" s="17" t="e">
        <f>VLOOKUP(M10,'Q1续费排名（4月~7月免检）'!F:P,11,0)</f>
        <v>#N/A</v>
      </c>
    </row>
    <row r="11" customHeight="1" spans="1:33">
      <c r="A11" s="19"/>
      <c r="B11" s="20"/>
      <c r="C11" s="21"/>
      <c r="D11" s="21"/>
      <c r="E11" s="21"/>
      <c r="F11" s="21"/>
      <c r="G11" s="21"/>
      <c r="H11" s="21"/>
      <c r="I11" s="22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30"/>
      <c r="V11" s="30"/>
      <c r="W11" s="21"/>
      <c r="X11" s="29"/>
      <c r="Y11" s="34"/>
      <c r="Z11" s="35"/>
      <c r="AA11" s="36"/>
      <c r="AB11" s="34"/>
      <c r="AC11" s="38"/>
      <c r="AD11" s="29"/>
      <c r="AE11" s="23"/>
      <c r="AF11" s="21"/>
      <c r="AG11" s="17" t="e">
        <f>VLOOKUP(M11,'Q1续费排名（4月~7月免检）'!F:P,11,0)</f>
        <v>#N/A</v>
      </c>
    </row>
    <row r="12" customHeight="1" spans="1:33">
      <c r="A12" s="19"/>
      <c r="B12" s="20"/>
      <c r="C12" s="21"/>
      <c r="D12" s="21"/>
      <c r="E12" s="21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30"/>
      <c r="V12" s="30"/>
      <c r="W12" s="21"/>
      <c r="X12" s="29"/>
      <c r="Y12" s="34"/>
      <c r="Z12" s="35"/>
      <c r="AA12" s="36"/>
      <c r="AB12" s="34"/>
      <c r="AC12" s="38"/>
      <c r="AD12" s="29"/>
      <c r="AE12" s="23"/>
      <c r="AF12" s="21"/>
      <c r="AG12" s="17" t="e">
        <f>VLOOKUP(M12,'Q1续费排名（4月~7月免检）'!F:P,11,0)</f>
        <v>#N/A</v>
      </c>
    </row>
  </sheetData>
  <autoFilter ref="A1:AG12">
    <sortState ref="A1:AG12">
      <sortCondition ref="AG1" descending="1"/>
    </sortState>
    <extLst/>
  </autoFilter>
  <conditionalFormatting sqref="X1">
    <cfRule type="containsText" dxfId="0" priority="1" operator="between" text="未跟进">
      <formula>NOT(ISERROR(SEARCH("未跟进",X1)))</formula>
    </cfRule>
  </conditionalFormatting>
  <conditionalFormatting sqref="AC1">
    <cfRule type="cellIs" dxfId="4" priority="2" operator="equal">
      <formula>"用户投诉成立"</formula>
    </cfRule>
    <cfRule type="containsText" dxfId="0" priority="3" operator="between" text="投诉成立">
      <formula>NOT(ISERROR(SEARCH("投诉成立",AC1)))</formula>
    </cfRule>
  </conditionalFormatting>
  <dataValidations count="3">
    <dataValidation type="list" sqref="Y2:Y12 AB2:AC12">
      <formula1>"用户投诉成立,用户投诉不成立"</formula1>
    </dataValidation>
    <dataValidation type="list" sqref="AE2:AE12">
      <formula1>"音效体验不佳/设备问题,讲解不到位/语速或节奏偏快,老师感染力弱/缺乏亲和力或耐心,课堂节奏/效果把控不佳,对学员关注不到位/兼顾不均,缺乏/启发引导及指导不到位,课堂氛围枯燥,互动不到位/缺乏互动及指导,语言表达不标准/表述不当,示范不到位/缺乏示范,指导不到位/缺乏指导,引导不到位/缺乏启发引导,缺乏夸奖与鼓励,仪表神态不佳,备课准备不充分,其他"</formula1>
    </dataValidation>
    <dataValidation type="list" sqref="Z2:Z12">
      <formula1>"已按要求跟进并判责，且规范填写跟进说明,未按要求跟进并判责，需教学团队上级跟进确认"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4"/>
  <sheetViews>
    <sheetView workbookViewId="0">
      <selection activeCell="A2" sqref="$A2:$XFD2"/>
    </sheetView>
  </sheetViews>
  <sheetFormatPr defaultColWidth="9" defaultRowHeight="15"/>
  <cols>
    <col min="1" max="1" width="6.37962962962963" style="9" customWidth="1"/>
    <col min="2" max="2" width="9.62962962962963" style="9" customWidth="1"/>
    <col min="3" max="3" width="7.87962962962963" style="9" customWidth="1"/>
    <col min="4" max="4" width="13.6296296296296" style="9" customWidth="1"/>
    <col min="5" max="5" width="7.87962962962963" style="9" customWidth="1"/>
    <col min="6" max="6" width="11.5" style="9" customWidth="1"/>
    <col min="7" max="7" width="7.87962962962963" style="9" customWidth="1"/>
    <col min="8" max="9" width="19" style="9" customWidth="1"/>
    <col min="10" max="11" width="7.87962962962963" style="9" customWidth="1"/>
    <col min="12" max="12" width="19" style="9" customWidth="1"/>
    <col min="13" max="16384" width="9" style="9"/>
  </cols>
  <sheetData>
    <row r="1" spans="1:12">
      <c r="A1" s="10" t="s">
        <v>391</v>
      </c>
      <c r="B1" s="10" t="s">
        <v>128</v>
      </c>
      <c r="C1" s="10" t="s">
        <v>410</v>
      </c>
      <c r="D1" s="10" t="s">
        <v>392</v>
      </c>
      <c r="E1" s="10" t="s">
        <v>411</v>
      </c>
      <c r="F1" s="10" t="s">
        <v>15</v>
      </c>
      <c r="G1" s="10" t="s">
        <v>412</v>
      </c>
      <c r="H1" s="10" t="s">
        <v>413</v>
      </c>
      <c r="I1" s="10" t="s">
        <v>414</v>
      </c>
      <c r="J1" s="10" t="s">
        <v>415</v>
      </c>
      <c r="K1" s="10" t="s">
        <v>416</v>
      </c>
      <c r="L1" s="10" t="s">
        <v>417</v>
      </c>
    </row>
    <row r="2" spans="1:12">
      <c r="A2" s="11">
        <v>4418</v>
      </c>
      <c r="B2" s="10" t="s">
        <v>418</v>
      </c>
      <c r="C2" s="10" t="s">
        <v>419</v>
      </c>
      <c r="D2" s="10" t="s">
        <v>420</v>
      </c>
      <c r="E2" s="10" t="s">
        <v>144</v>
      </c>
      <c r="F2" s="10" t="s">
        <v>48</v>
      </c>
      <c r="G2" s="10" t="s">
        <v>421</v>
      </c>
      <c r="H2" s="12">
        <v>45882</v>
      </c>
      <c r="I2" s="12">
        <v>45961.9999884259</v>
      </c>
      <c r="J2" s="11">
        <v>1919</v>
      </c>
      <c r="K2" s="10" t="s">
        <v>422</v>
      </c>
      <c r="L2" s="12">
        <v>45876.3198611111</v>
      </c>
    </row>
    <row r="3" spans="1:12">
      <c r="A3" s="11">
        <v>62437</v>
      </c>
      <c r="B3" s="10" t="s">
        <v>423</v>
      </c>
      <c r="C3" s="10" t="s">
        <v>424</v>
      </c>
      <c r="D3" s="10" t="s">
        <v>425</v>
      </c>
      <c r="E3" s="10" t="s">
        <v>144</v>
      </c>
      <c r="F3" s="10" t="s">
        <v>48</v>
      </c>
      <c r="G3" s="10" t="s">
        <v>421</v>
      </c>
      <c r="H3" s="12">
        <v>45795</v>
      </c>
      <c r="I3" s="12">
        <v>45972.9999884259</v>
      </c>
      <c r="J3" s="11">
        <v>4271</v>
      </c>
      <c r="K3" s="10" t="s">
        <v>422</v>
      </c>
      <c r="L3" s="12">
        <v>45793.9110416667</v>
      </c>
    </row>
    <row r="4" spans="1:12">
      <c r="A4" s="11">
        <v>4100</v>
      </c>
      <c r="B4" s="10" t="s">
        <v>426</v>
      </c>
      <c r="C4" s="10" t="s">
        <v>427</v>
      </c>
      <c r="D4" s="10" t="s">
        <v>428</v>
      </c>
      <c r="E4" s="10" t="s">
        <v>429</v>
      </c>
      <c r="F4" s="10" t="s">
        <v>44</v>
      </c>
      <c r="G4" s="10" t="s">
        <v>421</v>
      </c>
      <c r="H4" s="12">
        <v>45879</v>
      </c>
      <c r="I4" s="12">
        <v>45976.9999884259</v>
      </c>
      <c r="J4" s="11">
        <v>2351</v>
      </c>
      <c r="K4" s="10" t="s">
        <v>422</v>
      </c>
      <c r="L4" s="12">
        <v>45879.5915162037</v>
      </c>
    </row>
    <row r="5" spans="1:12">
      <c r="A5" s="11">
        <v>13199</v>
      </c>
      <c r="B5" s="10" t="s">
        <v>430</v>
      </c>
      <c r="C5" s="10" t="s">
        <v>431</v>
      </c>
      <c r="D5" s="10" t="s">
        <v>432</v>
      </c>
      <c r="E5" s="10" t="s">
        <v>144</v>
      </c>
      <c r="F5" s="10" t="s">
        <v>44</v>
      </c>
      <c r="G5" s="10" t="s">
        <v>421</v>
      </c>
      <c r="H5" s="12">
        <v>45787</v>
      </c>
      <c r="I5" s="12">
        <v>45979.9999884259</v>
      </c>
      <c r="J5" s="11">
        <v>4631</v>
      </c>
      <c r="K5" s="10" t="s">
        <v>422</v>
      </c>
      <c r="L5" s="12">
        <v>45795.5671875</v>
      </c>
    </row>
    <row r="6" spans="1:12">
      <c r="A6" s="11">
        <v>4100</v>
      </c>
      <c r="B6" s="10" t="s">
        <v>426</v>
      </c>
      <c r="C6" s="10" t="s">
        <v>427</v>
      </c>
      <c r="D6" s="10" t="s">
        <v>428</v>
      </c>
      <c r="E6" s="10" t="s">
        <v>429</v>
      </c>
      <c r="F6" s="10" t="s">
        <v>44</v>
      </c>
      <c r="G6" s="10" t="s">
        <v>421</v>
      </c>
      <c r="H6" s="12">
        <v>45882</v>
      </c>
      <c r="I6" s="12">
        <v>45979.9999884259</v>
      </c>
      <c r="J6" s="11">
        <v>2351</v>
      </c>
      <c r="K6" s="10" t="s">
        <v>422</v>
      </c>
      <c r="L6" s="12">
        <v>45876.8391319444</v>
      </c>
    </row>
    <row r="7" spans="1:12">
      <c r="A7" s="11">
        <v>21224</v>
      </c>
      <c r="B7" s="10" t="s">
        <v>433</v>
      </c>
      <c r="C7" s="10" t="s">
        <v>434</v>
      </c>
      <c r="D7" s="10" t="s">
        <v>435</v>
      </c>
      <c r="E7" s="10" t="s">
        <v>144</v>
      </c>
      <c r="F7" s="10" t="s">
        <v>29</v>
      </c>
      <c r="G7" s="10" t="s">
        <v>421</v>
      </c>
      <c r="H7" s="12">
        <v>45882</v>
      </c>
      <c r="I7" s="12">
        <v>45979.9999884259</v>
      </c>
      <c r="J7" s="11">
        <v>2351</v>
      </c>
      <c r="K7" s="10" t="s">
        <v>422</v>
      </c>
      <c r="L7" s="12">
        <v>45882.5453587963</v>
      </c>
    </row>
    <row r="8" spans="1:12">
      <c r="A8" s="11">
        <v>15379</v>
      </c>
      <c r="B8" s="10" t="s">
        <v>436</v>
      </c>
      <c r="C8" s="10" t="s">
        <v>437</v>
      </c>
      <c r="D8" s="10" t="s">
        <v>438</v>
      </c>
      <c r="E8" s="10" t="s">
        <v>439</v>
      </c>
      <c r="F8" s="10" t="s">
        <v>36</v>
      </c>
      <c r="G8" s="10" t="s">
        <v>421</v>
      </c>
      <c r="H8" s="12">
        <v>45903</v>
      </c>
      <c r="I8" s="12">
        <v>45982.9999884259</v>
      </c>
      <c r="J8" s="11">
        <v>1919</v>
      </c>
      <c r="K8" s="10" t="s">
        <v>422</v>
      </c>
      <c r="L8" s="12">
        <v>45891.6855902778</v>
      </c>
    </row>
    <row r="9" spans="1:12">
      <c r="A9" s="11">
        <v>20324</v>
      </c>
      <c r="B9" s="10" t="s">
        <v>440</v>
      </c>
      <c r="C9" s="10" t="s">
        <v>441</v>
      </c>
      <c r="D9" s="10" t="s">
        <v>442</v>
      </c>
      <c r="E9" s="10" t="s">
        <v>144</v>
      </c>
      <c r="F9" s="10" t="s">
        <v>44</v>
      </c>
      <c r="G9" s="10" t="s">
        <v>421</v>
      </c>
      <c r="H9" s="12">
        <v>45904</v>
      </c>
      <c r="I9" s="12">
        <v>45983.9999884259</v>
      </c>
      <c r="J9" s="11">
        <v>1919</v>
      </c>
      <c r="K9" s="10" t="s">
        <v>422</v>
      </c>
      <c r="L9" s="12">
        <v>45889.9409837963</v>
      </c>
    </row>
    <row r="10" spans="1:12">
      <c r="A10" s="11">
        <v>69304</v>
      </c>
      <c r="B10" s="10" t="s">
        <v>443</v>
      </c>
      <c r="C10" s="10" t="s">
        <v>444</v>
      </c>
      <c r="D10" s="10" t="s">
        <v>445</v>
      </c>
      <c r="E10" s="10" t="s">
        <v>144</v>
      </c>
      <c r="F10" s="10" t="s">
        <v>29</v>
      </c>
      <c r="G10" s="10" t="s">
        <v>421</v>
      </c>
      <c r="H10" s="12">
        <v>45881</v>
      </c>
      <c r="I10" s="12">
        <v>45990.9999884259</v>
      </c>
      <c r="J10" s="11">
        <v>2639</v>
      </c>
      <c r="K10" s="10" t="s">
        <v>422</v>
      </c>
      <c r="L10" s="12">
        <v>45869.5959953704</v>
      </c>
    </row>
    <row r="11" spans="1:12">
      <c r="A11" s="11">
        <v>5388</v>
      </c>
      <c r="B11" s="10" t="s">
        <v>446</v>
      </c>
      <c r="C11" s="10" t="s">
        <v>447</v>
      </c>
      <c r="D11" s="10" t="s">
        <v>448</v>
      </c>
      <c r="E11" s="10" t="s">
        <v>144</v>
      </c>
      <c r="F11" s="10" t="s">
        <v>44</v>
      </c>
      <c r="G11" s="10" t="s">
        <v>421</v>
      </c>
      <c r="H11" s="12">
        <v>45924</v>
      </c>
      <c r="I11" s="12">
        <v>46003.9999884259</v>
      </c>
      <c r="J11" s="11">
        <v>1919</v>
      </c>
      <c r="K11" s="10" t="s">
        <v>422</v>
      </c>
      <c r="L11" s="12">
        <v>45916.5966898148</v>
      </c>
    </row>
    <row r="12" spans="1:12">
      <c r="A12" s="11">
        <v>21579</v>
      </c>
      <c r="B12" s="10" t="s">
        <v>449</v>
      </c>
      <c r="C12" s="10" t="s">
        <v>450</v>
      </c>
      <c r="D12" s="10" t="s">
        <v>451</v>
      </c>
      <c r="E12" s="10" t="s">
        <v>144</v>
      </c>
      <c r="F12" s="10" t="s">
        <v>48</v>
      </c>
      <c r="G12" s="10" t="s">
        <v>421</v>
      </c>
      <c r="H12" s="12">
        <v>45937</v>
      </c>
      <c r="I12" s="12">
        <v>46011.9999884259</v>
      </c>
      <c r="J12" s="11">
        <v>1799</v>
      </c>
      <c r="K12" s="10" t="s">
        <v>422</v>
      </c>
      <c r="L12" s="12">
        <v>45846.7679166667</v>
      </c>
    </row>
    <row r="13" spans="1:12">
      <c r="A13" s="11">
        <v>13150</v>
      </c>
      <c r="B13" s="10" t="s">
        <v>452</v>
      </c>
      <c r="C13" s="10" t="s">
        <v>453</v>
      </c>
      <c r="D13" s="10" t="s">
        <v>454</v>
      </c>
      <c r="E13" s="10" t="s">
        <v>144</v>
      </c>
      <c r="F13" s="10" t="s">
        <v>29</v>
      </c>
      <c r="G13" s="10" t="s">
        <v>421</v>
      </c>
      <c r="H13" s="12">
        <v>45918</v>
      </c>
      <c r="I13" s="12">
        <v>46015.9999884259</v>
      </c>
      <c r="J13" s="11">
        <v>2351</v>
      </c>
      <c r="K13" s="10" t="s">
        <v>422</v>
      </c>
      <c r="L13" s="12">
        <v>45915.733599537</v>
      </c>
    </row>
    <row r="14" spans="1:12">
      <c r="A14" s="11">
        <v>58051</v>
      </c>
      <c r="B14" s="10" t="s">
        <v>455</v>
      </c>
      <c r="C14" s="10" t="s">
        <v>456</v>
      </c>
      <c r="D14" s="10" t="s">
        <v>457</v>
      </c>
      <c r="E14" s="10" t="s">
        <v>458</v>
      </c>
      <c r="F14" s="10" t="s">
        <v>1</v>
      </c>
      <c r="G14" s="10" t="s">
        <v>421</v>
      </c>
      <c r="H14" s="12">
        <v>45939</v>
      </c>
      <c r="I14" s="12">
        <v>46018.9999884259</v>
      </c>
      <c r="J14" s="11">
        <v>1919</v>
      </c>
      <c r="K14" s="10" t="s">
        <v>422</v>
      </c>
      <c r="L14" s="12">
        <v>45886.4689814815</v>
      </c>
    </row>
    <row r="15" spans="1:12">
      <c r="A15" s="11">
        <v>50228</v>
      </c>
      <c r="B15" s="10" t="s">
        <v>459</v>
      </c>
      <c r="C15" s="10" t="s">
        <v>460</v>
      </c>
      <c r="D15" s="10" t="s">
        <v>461</v>
      </c>
      <c r="E15" s="10" t="s">
        <v>144</v>
      </c>
      <c r="F15" s="10" t="s">
        <v>29</v>
      </c>
      <c r="G15" s="10" t="s">
        <v>421</v>
      </c>
      <c r="H15" s="12">
        <v>45930</v>
      </c>
      <c r="I15" s="12">
        <v>46027.9999884259</v>
      </c>
      <c r="J15" s="11">
        <v>2351</v>
      </c>
      <c r="K15" s="10" t="s">
        <v>422</v>
      </c>
      <c r="L15" s="12">
        <v>45925.6600810185</v>
      </c>
    </row>
    <row r="16" spans="1:12">
      <c r="A16" s="11">
        <v>2278</v>
      </c>
      <c r="B16" s="10" t="s">
        <v>462</v>
      </c>
      <c r="C16" s="10" t="s">
        <v>463</v>
      </c>
      <c r="D16" s="10" t="s">
        <v>464</v>
      </c>
      <c r="E16" s="10" t="s">
        <v>144</v>
      </c>
      <c r="F16" s="10" t="s">
        <v>29</v>
      </c>
      <c r="G16" s="10" t="s">
        <v>421</v>
      </c>
      <c r="H16" s="12">
        <v>45934</v>
      </c>
      <c r="I16" s="12">
        <v>46031.9999884259</v>
      </c>
      <c r="J16" s="11">
        <v>2351</v>
      </c>
      <c r="K16" s="10" t="s">
        <v>422</v>
      </c>
      <c r="L16" s="12">
        <v>45928.4301851852</v>
      </c>
    </row>
    <row r="17" spans="1:12">
      <c r="A17" s="11">
        <v>4100</v>
      </c>
      <c r="B17" s="10" t="s">
        <v>426</v>
      </c>
      <c r="C17" s="10" t="s">
        <v>427</v>
      </c>
      <c r="D17" s="10" t="s">
        <v>428</v>
      </c>
      <c r="E17" s="10" t="s">
        <v>429</v>
      </c>
      <c r="F17" s="10" t="s">
        <v>44</v>
      </c>
      <c r="G17" s="10" t="s">
        <v>421</v>
      </c>
      <c r="H17" s="12">
        <v>45977</v>
      </c>
      <c r="I17" s="12">
        <v>46036.9999884259</v>
      </c>
      <c r="J17" s="11">
        <v>1439</v>
      </c>
      <c r="K17" s="10" t="s">
        <v>422</v>
      </c>
      <c r="L17" s="12">
        <v>45972.7286921296</v>
      </c>
    </row>
    <row r="18" spans="1:12">
      <c r="A18" s="11">
        <v>21226</v>
      </c>
      <c r="B18" s="10" t="s">
        <v>465</v>
      </c>
      <c r="C18" s="10" t="s">
        <v>466</v>
      </c>
      <c r="D18" s="10" t="s">
        <v>467</v>
      </c>
      <c r="E18" s="10" t="s">
        <v>144</v>
      </c>
      <c r="F18" s="10" t="s">
        <v>29</v>
      </c>
      <c r="G18" s="10" t="s">
        <v>421</v>
      </c>
      <c r="H18" s="12">
        <v>45946</v>
      </c>
      <c r="I18" s="12">
        <v>46043.9999884259</v>
      </c>
      <c r="J18" s="11">
        <v>2351</v>
      </c>
      <c r="K18" s="10" t="s">
        <v>422</v>
      </c>
      <c r="L18" s="12">
        <v>45944.4500231482</v>
      </c>
    </row>
    <row r="19" spans="1:12">
      <c r="A19" s="11">
        <v>2759</v>
      </c>
      <c r="B19" s="10" t="s">
        <v>468</v>
      </c>
      <c r="C19" s="10" t="s">
        <v>469</v>
      </c>
      <c r="D19" s="10" t="s">
        <v>470</v>
      </c>
      <c r="E19" s="10" t="s">
        <v>144</v>
      </c>
      <c r="F19" s="10" t="s">
        <v>29</v>
      </c>
      <c r="G19" s="10" t="s">
        <v>421</v>
      </c>
      <c r="H19" s="12">
        <v>45953</v>
      </c>
      <c r="I19" s="12">
        <v>46050.9999884259</v>
      </c>
      <c r="J19" s="11">
        <v>2351</v>
      </c>
      <c r="K19" s="10" t="s">
        <v>422</v>
      </c>
      <c r="L19" s="12">
        <v>45952.7766782407</v>
      </c>
    </row>
    <row r="20" spans="1:12">
      <c r="A20" s="11">
        <v>23675</v>
      </c>
      <c r="B20" s="10" t="s">
        <v>471</v>
      </c>
      <c r="C20" s="10" t="s">
        <v>472</v>
      </c>
      <c r="D20" s="10" t="s">
        <v>473</v>
      </c>
      <c r="E20" s="10" t="s">
        <v>144</v>
      </c>
      <c r="F20" s="10" t="s">
        <v>44</v>
      </c>
      <c r="G20" s="10" t="s">
        <v>421</v>
      </c>
      <c r="H20" s="12">
        <v>45954</v>
      </c>
      <c r="I20" s="12">
        <v>46051.9999884259</v>
      </c>
      <c r="J20" s="11">
        <v>2351</v>
      </c>
      <c r="K20" s="10" t="s">
        <v>422</v>
      </c>
      <c r="L20" s="12">
        <v>45951.4818518519</v>
      </c>
    </row>
    <row r="21" spans="1:12">
      <c r="A21" s="11">
        <v>23209</v>
      </c>
      <c r="B21" s="10" t="s">
        <v>474</v>
      </c>
      <c r="C21" s="10" t="s">
        <v>475</v>
      </c>
      <c r="D21" s="10" t="s">
        <v>476</v>
      </c>
      <c r="E21" s="10" t="s">
        <v>439</v>
      </c>
      <c r="F21" s="10" t="s">
        <v>48</v>
      </c>
      <c r="G21" s="10" t="s">
        <v>421</v>
      </c>
      <c r="H21" s="12">
        <v>45885</v>
      </c>
      <c r="I21" s="12">
        <v>46057.9999884259</v>
      </c>
      <c r="J21" s="11">
        <v>4151</v>
      </c>
      <c r="K21" s="10" t="s">
        <v>422</v>
      </c>
      <c r="L21" s="12">
        <v>45947.5959953704</v>
      </c>
    </row>
    <row r="22" spans="1:12">
      <c r="A22" s="11">
        <v>15415</v>
      </c>
      <c r="B22" s="10" t="s">
        <v>477</v>
      </c>
      <c r="C22" s="10" t="s">
        <v>478</v>
      </c>
      <c r="D22" s="10" t="s">
        <v>479</v>
      </c>
      <c r="E22" s="10" t="s">
        <v>144</v>
      </c>
      <c r="F22" s="10" t="s">
        <v>44</v>
      </c>
      <c r="G22" s="10" t="s">
        <v>421</v>
      </c>
      <c r="H22" s="12">
        <v>45962</v>
      </c>
      <c r="I22" s="12">
        <v>46059.9999884259</v>
      </c>
      <c r="J22" s="11">
        <v>2351</v>
      </c>
      <c r="K22" s="10" t="s">
        <v>422</v>
      </c>
      <c r="L22" s="12">
        <v>45952.6065509259</v>
      </c>
    </row>
    <row r="23" spans="1:12">
      <c r="A23" s="11">
        <v>15422</v>
      </c>
      <c r="B23" s="10" t="s">
        <v>480</v>
      </c>
      <c r="C23" s="10" t="s">
        <v>481</v>
      </c>
      <c r="D23" s="10" t="s">
        <v>482</v>
      </c>
      <c r="E23" s="10" t="s">
        <v>144</v>
      </c>
      <c r="F23" s="10" t="s">
        <v>44</v>
      </c>
      <c r="G23" s="10" t="s">
        <v>421</v>
      </c>
      <c r="H23" s="12">
        <v>45963</v>
      </c>
      <c r="I23" s="12">
        <v>46060.9999884259</v>
      </c>
      <c r="J23" s="11">
        <v>2351</v>
      </c>
      <c r="K23" s="10" t="s">
        <v>422</v>
      </c>
      <c r="L23" s="12">
        <v>45975.6340856481</v>
      </c>
    </row>
    <row r="24" spans="1:12">
      <c r="A24" s="11">
        <v>70299</v>
      </c>
      <c r="B24" s="10" t="s">
        <v>483</v>
      </c>
      <c r="C24" s="10" t="s">
        <v>484</v>
      </c>
      <c r="D24" s="10" t="s">
        <v>485</v>
      </c>
      <c r="E24" s="10" t="s">
        <v>144</v>
      </c>
      <c r="F24" s="10" t="s">
        <v>29</v>
      </c>
      <c r="G24" s="10" t="s">
        <v>421</v>
      </c>
      <c r="H24" s="12">
        <v>46034</v>
      </c>
      <c r="I24" s="12">
        <v>46063.9999884259</v>
      </c>
      <c r="J24" s="11">
        <v>719</v>
      </c>
      <c r="K24" s="10" t="s">
        <v>422</v>
      </c>
      <c r="L24" s="12">
        <v>46036.5190625</v>
      </c>
    </row>
    <row r="25" spans="1:12">
      <c r="A25" s="11">
        <v>21224</v>
      </c>
      <c r="B25" s="10" t="s">
        <v>433</v>
      </c>
      <c r="C25" s="10" t="s">
        <v>434</v>
      </c>
      <c r="D25" s="10" t="s">
        <v>435</v>
      </c>
      <c r="E25" s="10" t="s">
        <v>144</v>
      </c>
      <c r="F25" s="10" t="s">
        <v>29</v>
      </c>
      <c r="G25" s="10" t="s">
        <v>421</v>
      </c>
      <c r="H25" s="12">
        <v>45980</v>
      </c>
      <c r="I25" s="12">
        <v>46064.9999884259</v>
      </c>
      <c r="J25" s="11">
        <v>2039</v>
      </c>
      <c r="K25" s="10" t="s">
        <v>422</v>
      </c>
      <c r="L25" s="12">
        <v>45975.6970486111</v>
      </c>
    </row>
    <row r="26" spans="1:12">
      <c r="A26" s="11">
        <v>4696</v>
      </c>
      <c r="B26" s="10" t="s">
        <v>486</v>
      </c>
      <c r="C26" s="10" t="s">
        <v>487</v>
      </c>
      <c r="D26" s="10" t="s">
        <v>488</v>
      </c>
      <c r="E26" s="10" t="s">
        <v>144</v>
      </c>
      <c r="F26" s="10" t="s">
        <v>29</v>
      </c>
      <c r="G26" s="10" t="s">
        <v>421</v>
      </c>
      <c r="H26" s="12">
        <v>46040</v>
      </c>
      <c r="I26" s="12">
        <v>46069.9999884259</v>
      </c>
      <c r="J26" s="11">
        <v>719</v>
      </c>
      <c r="K26" s="10" t="s">
        <v>422</v>
      </c>
      <c r="L26" s="12">
        <v>46042.6646875</v>
      </c>
    </row>
    <row r="27" spans="1:12">
      <c r="A27" s="11">
        <v>68853</v>
      </c>
      <c r="B27" s="10" t="s">
        <v>489</v>
      </c>
      <c r="C27" s="10" t="s">
        <v>490</v>
      </c>
      <c r="D27" s="10" t="s">
        <v>491</v>
      </c>
      <c r="E27" s="10" t="s">
        <v>144</v>
      </c>
      <c r="F27" s="10" t="s">
        <v>44</v>
      </c>
      <c r="G27" s="10" t="s">
        <v>421</v>
      </c>
      <c r="H27" s="12">
        <v>45987</v>
      </c>
      <c r="I27" s="12">
        <v>46084.9999884259</v>
      </c>
      <c r="J27" s="11">
        <v>2351</v>
      </c>
      <c r="K27" s="10" t="s">
        <v>422</v>
      </c>
      <c r="L27" s="12">
        <v>45988.6942939815</v>
      </c>
    </row>
    <row r="28" spans="1:12">
      <c r="A28" s="11">
        <v>15305</v>
      </c>
      <c r="B28" s="10" t="s">
        <v>492</v>
      </c>
      <c r="C28" s="10" t="s">
        <v>493</v>
      </c>
      <c r="D28" s="10" t="s">
        <v>494</v>
      </c>
      <c r="E28" s="10" t="s">
        <v>144</v>
      </c>
      <c r="F28" s="10" t="s">
        <v>29</v>
      </c>
      <c r="G28" s="10" t="s">
        <v>421</v>
      </c>
      <c r="H28" s="12">
        <v>45993</v>
      </c>
      <c r="I28" s="12">
        <v>46090.9999884259</v>
      </c>
      <c r="J28" s="11">
        <v>2351</v>
      </c>
      <c r="K28" s="10" t="s">
        <v>422</v>
      </c>
      <c r="L28" s="12">
        <v>45980.6402199074</v>
      </c>
    </row>
    <row r="29" spans="1:12">
      <c r="A29" s="11">
        <v>13150</v>
      </c>
      <c r="B29" s="10" t="s">
        <v>452</v>
      </c>
      <c r="C29" s="10" t="s">
        <v>453</v>
      </c>
      <c r="D29" s="10" t="s">
        <v>454</v>
      </c>
      <c r="E29" s="10" t="s">
        <v>144</v>
      </c>
      <c r="F29" s="10" t="s">
        <v>29</v>
      </c>
      <c r="G29" s="10" t="s">
        <v>421</v>
      </c>
      <c r="H29" s="12">
        <v>46016</v>
      </c>
      <c r="I29" s="12">
        <v>46095.9999884259</v>
      </c>
      <c r="J29" s="11">
        <v>1919</v>
      </c>
      <c r="K29" s="10" t="s">
        <v>422</v>
      </c>
      <c r="L29" s="12">
        <v>45986.6163078704</v>
      </c>
    </row>
    <row r="30" spans="1:12">
      <c r="A30" s="11">
        <v>50228</v>
      </c>
      <c r="B30" s="10" t="s">
        <v>459</v>
      </c>
      <c r="C30" s="10" t="s">
        <v>460</v>
      </c>
      <c r="D30" s="10" t="s">
        <v>461</v>
      </c>
      <c r="E30" s="10" t="s">
        <v>144</v>
      </c>
      <c r="F30" s="10" t="s">
        <v>29</v>
      </c>
      <c r="G30" s="10" t="s">
        <v>421</v>
      </c>
      <c r="H30" s="12">
        <v>46028</v>
      </c>
      <c r="I30" s="12">
        <v>46097.9999884259</v>
      </c>
      <c r="J30" s="11">
        <v>1679</v>
      </c>
      <c r="K30" s="10" t="s">
        <v>422</v>
      </c>
      <c r="L30" s="12">
        <v>46009.562650463</v>
      </c>
    </row>
    <row r="31" spans="1:12">
      <c r="A31" s="11">
        <v>2278</v>
      </c>
      <c r="B31" s="10" t="s">
        <v>462</v>
      </c>
      <c r="C31" s="10" t="s">
        <v>463</v>
      </c>
      <c r="D31" s="10" t="s">
        <v>464</v>
      </c>
      <c r="E31" s="10" t="s">
        <v>144</v>
      </c>
      <c r="F31" s="10" t="s">
        <v>29</v>
      </c>
      <c r="G31" s="10" t="s">
        <v>421</v>
      </c>
      <c r="H31" s="12">
        <v>46032</v>
      </c>
      <c r="I31" s="12">
        <v>46111.9999884259</v>
      </c>
      <c r="J31" s="11">
        <v>1919</v>
      </c>
      <c r="K31" s="10" t="s">
        <v>422</v>
      </c>
      <c r="L31" s="12">
        <v>45989.7435532407</v>
      </c>
    </row>
    <row r="32" spans="1:12">
      <c r="A32" s="11">
        <v>23675</v>
      </c>
      <c r="B32" s="10" t="s">
        <v>471</v>
      </c>
      <c r="C32" s="10" t="s">
        <v>472</v>
      </c>
      <c r="D32" s="10" t="s">
        <v>473</v>
      </c>
      <c r="E32" s="10" t="s">
        <v>144</v>
      </c>
      <c r="F32" s="10" t="s">
        <v>44</v>
      </c>
      <c r="G32" s="10" t="s">
        <v>421</v>
      </c>
      <c r="H32" s="12">
        <v>46052</v>
      </c>
      <c r="I32" s="12">
        <v>46126.9999884259</v>
      </c>
      <c r="J32" s="11">
        <v>1799</v>
      </c>
      <c r="K32" s="10" t="s">
        <v>422</v>
      </c>
      <c r="L32" s="12">
        <v>46036.5710300926</v>
      </c>
    </row>
    <row r="33" spans="1:12">
      <c r="A33" s="11">
        <v>74039</v>
      </c>
      <c r="B33" s="10" t="s">
        <v>495</v>
      </c>
      <c r="C33" s="10" t="s">
        <v>496</v>
      </c>
      <c r="D33" s="10" t="s">
        <v>497</v>
      </c>
      <c r="E33" s="10" t="s">
        <v>144</v>
      </c>
      <c r="F33" s="10" t="s">
        <v>48</v>
      </c>
      <c r="G33" s="10" t="s">
        <v>421</v>
      </c>
      <c r="H33" s="12">
        <v>46030</v>
      </c>
      <c r="I33" s="12">
        <v>46127.9999884259</v>
      </c>
      <c r="J33" s="11">
        <v>2351</v>
      </c>
      <c r="K33" s="10" t="s">
        <v>422</v>
      </c>
      <c r="L33" s="12">
        <v>46013.6484143519</v>
      </c>
    </row>
    <row r="34" spans="1:12">
      <c r="A34" s="11">
        <v>21226</v>
      </c>
      <c r="B34" s="10" t="s">
        <v>465</v>
      </c>
      <c r="C34" s="10" t="s">
        <v>466</v>
      </c>
      <c r="D34" s="10" t="s">
        <v>467</v>
      </c>
      <c r="E34" s="10" t="s">
        <v>144</v>
      </c>
      <c r="F34" s="10" t="s">
        <v>29</v>
      </c>
      <c r="G34" s="10" t="s">
        <v>421</v>
      </c>
      <c r="H34" s="12">
        <v>46044</v>
      </c>
      <c r="I34" s="12">
        <v>46128.9999884259</v>
      </c>
      <c r="J34" s="11">
        <v>2039</v>
      </c>
      <c r="K34" s="10" t="s">
        <v>422</v>
      </c>
      <c r="L34" s="12">
        <v>46031.742037037</v>
      </c>
    </row>
    <row r="35" spans="1:12">
      <c r="A35" s="11">
        <v>2759</v>
      </c>
      <c r="B35" s="10" t="s">
        <v>468</v>
      </c>
      <c r="C35" s="10" t="s">
        <v>469</v>
      </c>
      <c r="D35" s="10" t="s">
        <v>470</v>
      </c>
      <c r="E35" s="10" t="s">
        <v>144</v>
      </c>
      <c r="F35" s="10" t="s">
        <v>29</v>
      </c>
      <c r="G35" s="10" t="s">
        <v>421</v>
      </c>
      <c r="H35" s="12">
        <v>46051</v>
      </c>
      <c r="I35" s="12">
        <v>46130.9999884259</v>
      </c>
      <c r="J35" s="11">
        <v>1919</v>
      </c>
      <c r="K35" s="10" t="s">
        <v>422</v>
      </c>
      <c r="L35" s="12">
        <v>45989.6992708333</v>
      </c>
    </row>
    <row r="36" spans="1:12">
      <c r="A36" s="11">
        <v>15415</v>
      </c>
      <c r="B36" s="10" t="s">
        <v>477</v>
      </c>
      <c r="C36" s="10" t="s">
        <v>478</v>
      </c>
      <c r="D36" s="10" t="s">
        <v>479</v>
      </c>
      <c r="E36" s="10" t="s">
        <v>144</v>
      </c>
      <c r="F36" s="10" t="s">
        <v>44</v>
      </c>
      <c r="G36" s="10" t="s">
        <v>421</v>
      </c>
      <c r="H36" s="12">
        <v>46060</v>
      </c>
      <c r="I36" s="12">
        <v>46134.9999884259</v>
      </c>
      <c r="J36" s="11">
        <v>1799</v>
      </c>
      <c r="K36" s="10" t="s">
        <v>422</v>
      </c>
      <c r="L36" s="12">
        <v>46053.7164930556</v>
      </c>
    </row>
    <row r="37" spans="1:12">
      <c r="A37" s="11">
        <v>22412</v>
      </c>
      <c r="B37" s="10" t="s">
        <v>498</v>
      </c>
      <c r="C37" s="10" t="s">
        <v>499</v>
      </c>
      <c r="D37" s="10" t="s">
        <v>500</v>
      </c>
      <c r="E37" s="10" t="s">
        <v>144</v>
      </c>
      <c r="F37" s="10" t="s">
        <v>29</v>
      </c>
      <c r="G37" s="10" t="s">
        <v>421</v>
      </c>
      <c r="H37" s="12">
        <v>46039</v>
      </c>
      <c r="I37" s="12">
        <v>46136.9999884259</v>
      </c>
      <c r="J37" s="11">
        <v>2351</v>
      </c>
      <c r="K37" s="10" t="s">
        <v>422</v>
      </c>
      <c r="L37" s="12">
        <v>46036.4867708333</v>
      </c>
    </row>
    <row r="38" spans="1:12">
      <c r="A38" s="11">
        <v>13212</v>
      </c>
      <c r="B38" s="10" t="s">
        <v>501</v>
      </c>
      <c r="C38" s="10" t="s">
        <v>502</v>
      </c>
      <c r="D38" s="10" t="s">
        <v>503</v>
      </c>
      <c r="E38" s="10" t="s">
        <v>144</v>
      </c>
      <c r="F38" s="10" t="s">
        <v>48</v>
      </c>
      <c r="G38" s="10" t="s">
        <v>421</v>
      </c>
      <c r="H38" s="12">
        <v>46050</v>
      </c>
      <c r="I38" s="12">
        <v>46147.9999884259</v>
      </c>
      <c r="J38" s="11">
        <v>2351</v>
      </c>
      <c r="K38" s="10" t="s">
        <v>422</v>
      </c>
      <c r="L38" s="12">
        <v>46043.6672569444</v>
      </c>
    </row>
    <row r="39" spans="1:12">
      <c r="A39" s="11">
        <v>68853</v>
      </c>
      <c r="B39" s="10" t="s">
        <v>489</v>
      </c>
      <c r="C39" s="10" t="s">
        <v>490</v>
      </c>
      <c r="D39" s="10" t="s">
        <v>491</v>
      </c>
      <c r="E39" s="10" t="s">
        <v>144</v>
      </c>
      <c r="F39" s="10" t="s">
        <v>44</v>
      </c>
      <c r="G39" s="10" t="s">
        <v>421</v>
      </c>
      <c r="H39" s="12">
        <v>46085</v>
      </c>
      <c r="I39" s="12">
        <v>46159.9999884259</v>
      </c>
      <c r="J39" s="11">
        <v>1799</v>
      </c>
      <c r="K39" s="10" t="s">
        <v>422</v>
      </c>
      <c r="L39" s="12">
        <v>46077.4543055556</v>
      </c>
    </row>
    <row r="40" spans="1:12">
      <c r="A40" s="11">
        <v>15305</v>
      </c>
      <c r="B40" s="10" t="s">
        <v>492</v>
      </c>
      <c r="C40" s="10" t="s">
        <v>493</v>
      </c>
      <c r="D40" s="10" t="s">
        <v>494</v>
      </c>
      <c r="E40" s="10" t="s">
        <v>144</v>
      </c>
      <c r="F40" s="10" t="s">
        <v>29</v>
      </c>
      <c r="G40" s="10" t="s">
        <v>421</v>
      </c>
      <c r="H40" s="12">
        <v>46091</v>
      </c>
      <c r="I40" s="12">
        <v>46170.9999884259</v>
      </c>
      <c r="J40" s="11">
        <v>1919</v>
      </c>
      <c r="K40" s="10" t="s">
        <v>422</v>
      </c>
      <c r="L40" s="12">
        <v>46086.529525463</v>
      </c>
    </row>
    <row r="41" spans="1:12">
      <c r="A41" s="11">
        <v>22886</v>
      </c>
      <c r="B41" s="10" t="s">
        <v>504</v>
      </c>
      <c r="C41" s="10" t="s">
        <v>505</v>
      </c>
      <c r="D41" s="10" t="s">
        <v>506</v>
      </c>
      <c r="E41" s="10" t="s">
        <v>144</v>
      </c>
      <c r="F41" s="10" t="s">
        <v>48</v>
      </c>
      <c r="G41" s="10" t="s">
        <v>421</v>
      </c>
      <c r="H41" s="12">
        <v>46076</v>
      </c>
      <c r="I41" s="12">
        <v>46173.9999884259</v>
      </c>
      <c r="J41" s="11">
        <v>2351</v>
      </c>
      <c r="K41" s="10" t="s">
        <v>422</v>
      </c>
      <c r="L41" s="12">
        <v>46068.5344675926</v>
      </c>
    </row>
    <row r="42" spans="1:12">
      <c r="A42" s="11">
        <v>24302</v>
      </c>
      <c r="B42" s="10" t="s">
        <v>507</v>
      </c>
      <c r="C42" s="10" t="s">
        <v>508</v>
      </c>
      <c r="D42" s="10" t="s">
        <v>509</v>
      </c>
      <c r="E42" s="10" t="s">
        <v>144</v>
      </c>
      <c r="F42" s="10" t="s">
        <v>44</v>
      </c>
      <c r="G42" s="10" t="s">
        <v>421</v>
      </c>
      <c r="H42" s="12">
        <v>46082</v>
      </c>
      <c r="I42" s="12">
        <v>46179.9999884259</v>
      </c>
      <c r="J42" s="11">
        <v>2351</v>
      </c>
      <c r="K42" s="10" t="s">
        <v>422</v>
      </c>
      <c r="L42" s="12">
        <v>46068.6026967593</v>
      </c>
    </row>
    <row r="43" spans="1:12">
      <c r="A43" s="11">
        <v>4683</v>
      </c>
      <c r="B43" s="10" t="s">
        <v>510</v>
      </c>
      <c r="C43" s="10" t="s">
        <v>511</v>
      </c>
      <c r="D43" s="10" t="s">
        <v>512</v>
      </c>
      <c r="E43" s="10" t="s">
        <v>439</v>
      </c>
      <c r="F43" s="10" t="s">
        <v>44</v>
      </c>
      <c r="G43" s="10" t="s">
        <v>421</v>
      </c>
      <c r="H43" s="12">
        <v>46089</v>
      </c>
      <c r="I43" s="12">
        <v>46186.9999884259</v>
      </c>
      <c r="J43" s="11">
        <v>2351</v>
      </c>
      <c r="K43" s="10" t="s">
        <v>422</v>
      </c>
      <c r="L43" s="12">
        <v>46088.8015972222</v>
      </c>
    </row>
    <row r="44" spans="1:12">
      <c r="A44" s="11">
        <v>22412</v>
      </c>
      <c r="B44" s="10" t="s">
        <v>498</v>
      </c>
      <c r="C44" s="10" t="s">
        <v>499</v>
      </c>
      <c r="D44" s="10" t="s">
        <v>500</v>
      </c>
      <c r="E44" s="10" t="s">
        <v>144</v>
      </c>
      <c r="F44" s="10" t="s">
        <v>29</v>
      </c>
      <c r="G44" s="10" t="s">
        <v>421</v>
      </c>
      <c r="H44" s="12">
        <v>46137</v>
      </c>
      <c r="I44" s="12">
        <v>46206.9999884259</v>
      </c>
      <c r="J44" s="11">
        <v>1679</v>
      </c>
      <c r="K44" s="10" t="s">
        <v>422</v>
      </c>
      <c r="L44" s="12">
        <v>46127.4138310185</v>
      </c>
    </row>
    <row r="45" spans="1:12">
      <c r="A45" s="11">
        <v>74039</v>
      </c>
      <c r="B45" s="10" t="s">
        <v>495</v>
      </c>
      <c r="C45" s="10" t="s">
        <v>496</v>
      </c>
      <c r="D45" s="10" t="s">
        <v>497</v>
      </c>
      <c r="E45" s="10" t="s">
        <v>144</v>
      </c>
      <c r="F45" s="10" t="s">
        <v>48</v>
      </c>
      <c r="G45" s="10" t="s">
        <v>421</v>
      </c>
      <c r="H45" s="12">
        <v>46128</v>
      </c>
      <c r="I45" s="12">
        <v>46207.9999884259</v>
      </c>
      <c r="J45" s="11">
        <v>1919</v>
      </c>
      <c r="K45" s="10" t="s">
        <v>422</v>
      </c>
      <c r="L45" s="12">
        <v>46119.4826851852</v>
      </c>
    </row>
    <row r="46" spans="1:12">
      <c r="A46" s="11">
        <v>23872</v>
      </c>
      <c r="B46" s="10" t="s">
        <v>513</v>
      </c>
      <c r="C46" s="10" t="s">
        <v>514</v>
      </c>
      <c r="D46" s="10" t="s">
        <v>515</v>
      </c>
      <c r="E46" s="10" t="s">
        <v>144</v>
      </c>
      <c r="F46" s="10" t="s">
        <v>48</v>
      </c>
      <c r="G46" s="10" t="s">
        <v>421</v>
      </c>
      <c r="H46" s="12">
        <v>46129</v>
      </c>
      <c r="I46" s="12">
        <v>46226.9999884259</v>
      </c>
      <c r="J46" s="11">
        <v>2351</v>
      </c>
      <c r="K46" s="10" t="s">
        <v>422</v>
      </c>
      <c r="L46" s="12">
        <v>46119.4191203704</v>
      </c>
    </row>
    <row r="47" spans="1:12">
      <c r="A47" s="11">
        <v>68408</v>
      </c>
      <c r="B47" s="10" t="s">
        <v>516</v>
      </c>
      <c r="C47" s="10" t="s">
        <v>517</v>
      </c>
      <c r="D47" s="10" t="s">
        <v>518</v>
      </c>
      <c r="E47" s="10" t="s">
        <v>144</v>
      </c>
      <c r="F47" s="10" t="s">
        <v>48</v>
      </c>
      <c r="G47" s="10" t="s">
        <v>421</v>
      </c>
      <c r="H47" s="12">
        <v>46130</v>
      </c>
      <c r="I47" s="12">
        <v>46227.9999884259</v>
      </c>
      <c r="J47" s="11">
        <v>2351</v>
      </c>
      <c r="K47" s="10" t="s">
        <v>422</v>
      </c>
      <c r="L47" s="12">
        <v>46121.7296643518</v>
      </c>
    </row>
    <row r="48" spans="1:12">
      <c r="A48" s="11">
        <v>21050</v>
      </c>
      <c r="B48" s="10" t="s">
        <v>519</v>
      </c>
      <c r="C48" s="10" t="s">
        <v>520</v>
      </c>
      <c r="D48" s="10" t="s">
        <v>521</v>
      </c>
      <c r="E48" s="10" t="s">
        <v>144</v>
      </c>
      <c r="F48" s="10" t="s">
        <v>29</v>
      </c>
      <c r="G48" s="10" t="s">
        <v>421</v>
      </c>
      <c r="H48" s="12">
        <v>46130</v>
      </c>
      <c r="I48" s="12">
        <v>46227.9999884259</v>
      </c>
      <c r="J48" s="11">
        <v>2351</v>
      </c>
      <c r="K48" s="10" t="s">
        <v>422</v>
      </c>
      <c r="L48" s="12">
        <v>46131.3363657407</v>
      </c>
    </row>
    <row r="49" spans="1:12">
      <c r="A49" s="11">
        <v>13116</v>
      </c>
      <c r="B49" s="10" t="s">
        <v>522</v>
      </c>
      <c r="C49" s="10" t="s">
        <v>523</v>
      </c>
      <c r="D49" s="10" t="s">
        <v>524</v>
      </c>
      <c r="E49" s="10" t="s">
        <v>144</v>
      </c>
      <c r="F49" s="10" t="s">
        <v>48</v>
      </c>
      <c r="G49" s="10" t="s">
        <v>421</v>
      </c>
      <c r="H49" s="12">
        <v>46133</v>
      </c>
      <c r="I49" s="12">
        <v>46230.9999884259</v>
      </c>
      <c r="J49" s="11">
        <v>2351</v>
      </c>
      <c r="K49" s="10" t="s">
        <v>422</v>
      </c>
      <c r="L49" s="12">
        <v>46133.5771759259</v>
      </c>
    </row>
    <row r="50" spans="1:12">
      <c r="A50" s="11">
        <v>62279</v>
      </c>
      <c r="B50" s="10" t="s">
        <v>525</v>
      </c>
      <c r="C50" s="10" t="s">
        <v>526</v>
      </c>
      <c r="D50" s="10" t="s">
        <v>527</v>
      </c>
      <c r="E50" s="10" t="s">
        <v>144</v>
      </c>
      <c r="F50" s="10" t="s">
        <v>29</v>
      </c>
      <c r="G50" s="10" t="s">
        <v>421</v>
      </c>
      <c r="H50" s="12">
        <v>46140</v>
      </c>
      <c r="I50" s="12">
        <v>46237.9999884259</v>
      </c>
      <c r="J50" s="11">
        <v>2351</v>
      </c>
      <c r="K50" s="10" t="s">
        <v>422</v>
      </c>
      <c r="L50" s="12">
        <v>46138.5366087963</v>
      </c>
    </row>
    <row r="51" spans="1:12">
      <c r="A51" s="11">
        <v>21964</v>
      </c>
      <c r="B51" s="10" t="s">
        <v>528</v>
      </c>
      <c r="C51" s="10" t="s">
        <v>529</v>
      </c>
      <c r="D51" s="10" t="s">
        <v>530</v>
      </c>
      <c r="E51" s="10" t="s">
        <v>144</v>
      </c>
      <c r="F51" s="10" t="s">
        <v>29</v>
      </c>
      <c r="G51" s="10" t="s">
        <v>421</v>
      </c>
      <c r="H51" s="12">
        <v>46144</v>
      </c>
      <c r="I51" s="12">
        <v>46241.9999884259</v>
      </c>
      <c r="J51" s="11">
        <v>2351</v>
      </c>
      <c r="K51" s="10" t="s">
        <v>422</v>
      </c>
      <c r="L51" s="12">
        <v>46141.660162037</v>
      </c>
    </row>
    <row r="52" spans="1:12">
      <c r="A52" s="11">
        <v>22886</v>
      </c>
      <c r="B52" s="10" t="s">
        <v>504</v>
      </c>
      <c r="C52" s="10" t="s">
        <v>505</v>
      </c>
      <c r="D52" s="10" t="s">
        <v>506</v>
      </c>
      <c r="E52" s="10" t="s">
        <v>144</v>
      </c>
      <c r="F52" s="10" t="s">
        <v>48</v>
      </c>
      <c r="G52" s="10" t="s">
        <v>421</v>
      </c>
      <c r="H52" s="12">
        <v>46174</v>
      </c>
      <c r="I52" s="12">
        <v>46248.9999884259</v>
      </c>
      <c r="J52" s="11">
        <v>1799</v>
      </c>
      <c r="K52" s="10" t="s">
        <v>422</v>
      </c>
      <c r="L52" s="12">
        <v>46126.7113657407</v>
      </c>
    </row>
    <row r="53" spans="1:12">
      <c r="A53" s="11">
        <v>24302</v>
      </c>
      <c r="B53" s="10" t="s">
        <v>507</v>
      </c>
      <c r="C53" s="10" t="s">
        <v>508</v>
      </c>
      <c r="D53" s="10" t="s">
        <v>509</v>
      </c>
      <c r="E53" s="10" t="s">
        <v>144</v>
      </c>
      <c r="F53" s="10" t="s">
        <v>44</v>
      </c>
      <c r="G53" s="10" t="s">
        <v>421</v>
      </c>
      <c r="H53" s="12">
        <v>46180</v>
      </c>
      <c r="I53" s="12">
        <v>46254.9999884259</v>
      </c>
      <c r="J53" s="11">
        <v>1799</v>
      </c>
      <c r="K53" s="10" t="s">
        <v>422</v>
      </c>
      <c r="L53" s="12">
        <v>46095.7654976852</v>
      </c>
    </row>
    <row r="54" spans="1:12">
      <c r="A54" s="11">
        <v>13212</v>
      </c>
      <c r="B54" s="10" t="s">
        <v>501</v>
      </c>
      <c r="C54" s="10" t="s">
        <v>502</v>
      </c>
      <c r="D54" s="10" t="s">
        <v>503</v>
      </c>
      <c r="E54" s="10" t="s">
        <v>144</v>
      </c>
      <c r="F54" s="10" t="s">
        <v>48</v>
      </c>
      <c r="G54" s="10" t="s">
        <v>421</v>
      </c>
      <c r="H54" s="12">
        <v>46148</v>
      </c>
      <c r="I54" s="12">
        <v>46257.9999884259</v>
      </c>
      <c r="J54" s="11">
        <v>2639</v>
      </c>
      <c r="K54" s="10" t="s">
        <v>422</v>
      </c>
      <c r="L54" s="12">
        <v>46076.9178703704</v>
      </c>
    </row>
  </sheetData>
  <autoFilter ref="A1:L54">
    <sortState ref="A1:L54">
      <sortCondition ref="I1"/>
    </sortState>
    <extLst/>
  </autoFilter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42"/>
  <sheetViews>
    <sheetView zoomScale="85" zoomScaleNormal="85" topLeftCell="A2" workbookViewId="0">
      <selection activeCell="R2" sqref="R2:R342"/>
    </sheetView>
  </sheetViews>
  <sheetFormatPr defaultColWidth="9.00925925925926" defaultRowHeight="15.6"/>
  <cols>
    <col min="1" max="4" width="9" style="1"/>
    <col min="5" max="5" width="12.5" style="1" customWidth="1"/>
    <col min="6" max="6" width="9" style="1"/>
    <col min="7" max="7" width="12.25" style="2" customWidth="1"/>
    <col min="8" max="8" width="12.5" style="2" customWidth="1"/>
    <col min="9" max="10" width="9" style="3"/>
    <col min="11" max="11" width="9.12962962962963" style="4"/>
    <col min="12" max="13" width="9" style="3"/>
    <col min="14" max="14" width="9.12962962962963" style="4"/>
    <col min="15" max="16" width="9" style="3"/>
    <col min="17" max="17" width="9.12962962962963" style="4"/>
    <col min="18" max="16384" width="9" style="3"/>
  </cols>
  <sheetData>
    <row r="1" ht="19" customHeight="1" spans="1:17">
      <c r="A1" s="5" t="s">
        <v>531</v>
      </c>
      <c r="B1" s="5" t="s">
        <v>7</v>
      </c>
      <c r="C1" s="5" t="s">
        <v>8</v>
      </c>
      <c r="D1" s="5" t="s">
        <v>9</v>
      </c>
      <c r="E1" s="5" t="s">
        <v>532</v>
      </c>
      <c r="F1" s="5" t="s">
        <v>533</v>
      </c>
      <c r="G1" s="6" t="s">
        <v>6</v>
      </c>
      <c r="H1" s="6" t="s">
        <v>534</v>
      </c>
      <c r="I1" s="7" t="s">
        <v>535</v>
      </c>
      <c r="J1" s="7" t="s">
        <v>536</v>
      </c>
      <c r="K1" s="8" t="s">
        <v>537</v>
      </c>
      <c r="L1" s="7" t="s">
        <v>538</v>
      </c>
      <c r="M1" s="7" t="s">
        <v>539</v>
      </c>
      <c r="N1" s="8" t="s">
        <v>540</v>
      </c>
      <c r="O1" s="7" t="s">
        <v>541</v>
      </c>
      <c r="P1" s="7" t="s">
        <v>542</v>
      </c>
      <c r="Q1" s="8" t="s">
        <v>543</v>
      </c>
    </row>
    <row r="2" spans="1:18">
      <c r="A2" s="1" t="s">
        <v>544</v>
      </c>
      <c r="B2" s="1" t="s">
        <v>143</v>
      </c>
      <c r="C2" s="1" t="s">
        <v>41</v>
      </c>
      <c r="D2" s="1" t="s">
        <v>545</v>
      </c>
      <c r="E2" s="1">
        <v>21291</v>
      </c>
      <c r="F2" s="1" t="s">
        <v>546</v>
      </c>
      <c r="G2" s="2">
        <v>44743</v>
      </c>
      <c r="I2" s="3">
        <v>5</v>
      </c>
      <c r="J2" s="3">
        <v>2</v>
      </c>
      <c r="K2" s="4">
        <v>0.4</v>
      </c>
      <c r="L2" s="3">
        <v>2</v>
      </c>
      <c r="M2" s="3">
        <v>0</v>
      </c>
      <c r="N2" s="4">
        <v>0</v>
      </c>
      <c r="O2" s="3">
        <v>3</v>
      </c>
      <c r="P2" s="3">
        <v>2</v>
      </c>
      <c r="Q2" s="4">
        <v>0.4</v>
      </c>
      <c r="R2" s="3" t="str">
        <f>B2</f>
        <v>C区</v>
      </c>
    </row>
    <row r="3" spans="1:18">
      <c r="A3" s="1" t="s">
        <v>544</v>
      </c>
      <c r="B3" s="1" t="s">
        <v>143</v>
      </c>
      <c r="C3" s="1" t="s">
        <v>41</v>
      </c>
      <c r="D3" s="1" t="s">
        <v>545</v>
      </c>
      <c r="E3" s="1">
        <v>53963</v>
      </c>
      <c r="F3" s="1" t="s">
        <v>547</v>
      </c>
      <c r="G3" s="2">
        <v>44509</v>
      </c>
      <c r="I3" s="3">
        <v>1</v>
      </c>
      <c r="J3" s="3">
        <v>0</v>
      </c>
      <c r="K3" s="4">
        <v>0</v>
      </c>
      <c r="L3" s="3">
        <v>0</v>
      </c>
      <c r="M3" s="3">
        <v>0</v>
      </c>
      <c r="N3" s="4">
        <v>0</v>
      </c>
      <c r="O3" s="3">
        <v>1</v>
      </c>
      <c r="P3" s="3">
        <v>0</v>
      </c>
      <c r="Q3" s="4">
        <v>0</v>
      </c>
      <c r="R3" s="3" t="str">
        <f t="shared" ref="R3:R66" si="0">B3</f>
        <v>C区</v>
      </c>
    </row>
    <row r="4" spans="1:18">
      <c r="A4" s="1" t="s">
        <v>544</v>
      </c>
      <c r="B4" s="1" t="s">
        <v>143</v>
      </c>
      <c r="C4" s="1" t="s">
        <v>41</v>
      </c>
      <c r="D4" s="1" t="s">
        <v>545</v>
      </c>
      <c r="E4" s="1">
        <v>57652</v>
      </c>
      <c r="F4" s="1" t="s">
        <v>548</v>
      </c>
      <c r="G4" s="2">
        <v>44572</v>
      </c>
      <c r="I4" s="3">
        <v>14</v>
      </c>
      <c r="J4" s="3">
        <v>3</v>
      </c>
      <c r="K4" s="4">
        <v>0.214285714285714</v>
      </c>
      <c r="L4" s="3">
        <v>9</v>
      </c>
      <c r="M4" s="3">
        <v>2</v>
      </c>
      <c r="N4" s="4">
        <v>0.142857142857143</v>
      </c>
      <c r="O4" s="3">
        <v>5</v>
      </c>
      <c r="P4" s="3">
        <v>1</v>
      </c>
      <c r="Q4" s="4">
        <v>0.0714285714285714</v>
      </c>
      <c r="R4" s="3" t="str">
        <f t="shared" si="0"/>
        <v>C区</v>
      </c>
    </row>
    <row r="5" spans="1:18">
      <c r="A5" s="1" t="s">
        <v>544</v>
      </c>
      <c r="B5" s="1" t="s">
        <v>143</v>
      </c>
      <c r="C5" s="1" t="s">
        <v>41</v>
      </c>
      <c r="D5" s="1" t="s">
        <v>545</v>
      </c>
      <c r="E5" s="1">
        <v>57943</v>
      </c>
      <c r="F5" s="1" t="s">
        <v>210</v>
      </c>
      <c r="G5" s="2">
        <v>44607</v>
      </c>
      <c r="I5" s="3">
        <v>6</v>
      </c>
      <c r="J5" s="3">
        <v>4</v>
      </c>
      <c r="K5" s="4">
        <v>0.666666666666667</v>
      </c>
      <c r="L5" s="3">
        <v>3</v>
      </c>
      <c r="M5" s="3">
        <v>2</v>
      </c>
      <c r="N5" s="4">
        <v>0.333333333333333</v>
      </c>
      <c r="O5" s="3">
        <v>3</v>
      </c>
      <c r="P5" s="3">
        <v>2</v>
      </c>
      <c r="Q5" s="4">
        <v>0.333333333333333</v>
      </c>
      <c r="R5" s="3" t="str">
        <f t="shared" si="0"/>
        <v>C区</v>
      </c>
    </row>
    <row r="6" spans="1:18">
      <c r="A6" s="1" t="s">
        <v>544</v>
      </c>
      <c r="B6" s="1" t="s">
        <v>143</v>
      </c>
      <c r="C6" s="1" t="s">
        <v>41</v>
      </c>
      <c r="D6" s="1" t="s">
        <v>545</v>
      </c>
      <c r="E6" s="1">
        <v>54247</v>
      </c>
      <c r="F6" s="1" t="s">
        <v>549</v>
      </c>
      <c r="G6" s="2">
        <v>44544</v>
      </c>
      <c r="I6" s="3">
        <v>8</v>
      </c>
      <c r="J6" s="3">
        <v>1</v>
      </c>
      <c r="K6" s="4">
        <v>0.125</v>
      </c>
      <c r="L6" s="3">
        <v>4</v>
      </c>
      <c r="M6" s="3">
        <v>0</v>
      </c>
      <c r="N6" s="4">
        <v>0</v>
      </c>
      <c r="O6" s="3">
        <v>4</v>
      </c>
      <c r="P6" s="3">
        <v>1</v>
      </c>
      <c r="Q6" s="4">
        <v>0.125</v>
      </c>
      <c r="R6" s="3" t="str">
        <f t="shared" si="0"/>
        <v>C区</v>
      </c>
    </row>
    <row r="7" spans="1:18">
      <c r="A7" s="1" t="s">
        <v>544</v>
      </c>
      <c r="B7" s="1" t="s">
        <v>143</v>
      </c>
      <c r="C7" s="1" t="s">
        <v>41</v>
      </c>
      <c r="D7" s="1" t="s">
        <v>545</v>
      </c>
      <c r="E7" s="1">
        <v>74312</v>
      </c>
      <c r="F7" s="1" t="s">
        <v>550</v>
      </c>
      <c r="G7" s="2">
        <v>45784</v>
      </c>
      <c r="I7" s="3">
        <v>15</v>
      </c>
      <c r="J7" s="3">
        <v>6</v>
      </c>
      <c r="K7" s="4">
        <v>0.4</v>
      </c>
      <c r="L7" s="3">
        <v>2</v>
      </c>
      <c r="M7" s="3">
        <v>1</v>
      </c>
      <c r="N7" s="4">
        <v>0.0666666666666667</v>
      </c>
      <c r="O7" s="3">
        <v>13</v>
      </c>
      <c r="P7" s="3">
        <v>5</v>
      </c>
      <c r="Q7" s="4">
        <v>0.333333333333333</v>
      </c>
      <c r="R7" s="3" t="str">
        <f t="shared" si="0"/>
        <v>C区</v>
      </c>
    </row>
    <row r="8" spans="1:18">
      <c r="A8" s="1" t="s">
        <v>544</v>
      </c>
      <c r="B8" s="1" t="s">
        <v>143</v>
      </c>
      <c r="C8" s="1" t="s">
        <v>41</v>
      </c>
      <c r="D8" s="1" t="s">
        <v>545</v>
      </c>
      <c r="E8" s="1">
        <v>50750</v>
      </c>
      <c r="F8" s="1" t="s">
        <v>551</v>
      </c>
      <c r="G8" s="2">
        <v>44621</v>
      </c>
      <c r="I8" s="3">
        <v>12</v>
      </c>
      <c r="J8" s="3">
        <v>7</v>
      </c>
      <c r="K8" s="4">
        <v>0.583333333333333</v>
      </c>
      <c r="L8" s="3">
        <v>9</v>
      </c>
      <c r="M8" s="3">
        <v>6</v>
      </c>
      <c r="N8" s="4">
        <v>0.5</v>
      </c>
      <c r="O8" s="3">
        <v>3</v>
      </c>
      <c r="P8" s="3">
        <v>1</v>
      </c>
      <c r="Q8" s="4">
        <v>0.0833333333333333</v>
      </c>
      <c r="R8" s="3" t="str">
        <f t="shared" si="0"/>
        <v>C区</v>
      </c>
    </row>
    <row r="9" spans="1:18">
      <c r="A9" s="1" t="s">
        <v>544</v>
      </c>
      <c r="B9" s="1" t="s">
        <v>143</v>
      </c>
      <c r="C9" s="1" t="s">
        <v>41</v>
      </c>
      <c r="D9" s="1" t="s">
        <v>545</v>
      </c>
      <c r="E9" s="1">
        <v>5833</v>
      </c>
      <c r="F9" s="1" t="s">
        <v>552</v>
      </c>
      <c r="G9" s="2">
        <v>45980</v>
      </c>
      <c r="I9" s="3">
        <v>7</v>
      </c>
      <c r="J9" s="3">
        <v>2</v>
      </c>
      <c r="K9" s="4">
        <v>0.285714285714286</v>
      </c>
      <c r="L9" s="3">
        <v>1</v>
      </c>
      <c r="M9" s="3">
        <v>1</v>
      </c>
      <c r="N9" s="4">
        <v>0.142857142857143</v>
      </c>
      <c r="O9" s="3">
        <v>6</v>
      </c>
      <c r="P9" s="3">
        <v>1</v>
      </c>
      <c r="Q9" s="4">
        <v>0.142857142857143</v>
      </c>
      <c r="R9" s="3" t="str">
        <f t="shared" si="0"/>
        <v>C区</v>
      </c>
    </row>
    <row r="10" spans="1:18">
      <c r="A10" s="1" t="s">
        <v>544</v>
      </c>
      <c r="B10" s="1" t="s">
        <v>143</v>
      </c>
      <c r="C10" s="1" t="s">
        <v>41</v>
      </c>
      <c r="D10" s="1" t="s">
        <v>545</v>
      </c>
      <c r="E10" s="1">
        <v>54211</v>
      </c>
      <c r="F10" s="1" t="s">
        <v>553</v>
      </c>
      <c r="G10" s="2">
        <v>44544</v>
      </c>
      <c r="I10" s="3">
        <v>19</v>
      </c>
      <c r="J10" s="3">
        <v>6</v>
      </c>
      <c r="K10" s="4">
        <v>0.315789473684211</v>
      </c>
      <c r="L10" s="3">
        <v>11</v>
      </c>
      <c r="M10" s="3">
        <v>2</v>
      </c>
      <c r="N10" s="4">
        <v>0.105263157894737</v>
      </c>
      <c r="O10" s="3">
        <v>8</v>
      </c>
      <c r="P10" s="3">
        <v>4</v>
      </c>
      <c r="Q10" s="4">
        <v>0.210526315789474</v>
      </c>
      <c r="R10" s="3" t="str">
        <f t="shared" si="0"/>
        <v>C区</v>
      </c>
    </row>
    <row r="11" spans="1:18">
      <c r="A11" s="1" t="s">
        <v>544</v>
      </c>
      <c r="B11" s="1" t="s">
        <v>143</v>
      </c>
      <c r="C11" s="1" t="s">
        <v>41</v>
      </c>
      <c r="D11" s="1" t="s">
        <v>545</v>
      </c>
      <c r="E11" s="1">
        <v>54599</v>
      </c>
      <c r="F11" s="1" t="s">
        <v>554</v>
      </c>
      <c r="G11" s="2">
        <v>44551</v>
      </c>
      <c r="I11" s="3">
        <v>1</v>
      </c>
      <c r="J11" s="3">
        <v>1</v>
      </c>
      <c r="K11" s="4">
        <v>1</v>
      </c>
      <c r="L11" s="3">
        <v>1</v>
      </c>
      <c r="M11" s="3">
        <v>1</v>
      </c>
      <c r="N11" s="4">
        <v>1</v>
      </c>
      <c r="O11" s="3">
        <v>0</v>
      </c>
      <c r="P11" s="3">
        <v>0</v>
      </c>
      <c r="Q11" s="4">
        <v>0</v>
      </c>
      <c r="R11" s="3" t="str">
        <f t="shared" si="0"/>
        <v>C区</v>
      </c>
    </row>
    <row r="12" spans="1:18">
      <c r="A12" s="1" t="s">
        <v>544</v>
      </c>
      <c r="B12" s="1" t="s">
        <v>143</v>
      </c>
      <c r="C12" s="1" t="s">
        <v>41</v>
      </c>
      <c r="D12" s="1" t="s">
        <v>545</v>
      </c>
      <c r="E12" s="1">
        <v>60893</v>
      </c>
      <c r="F12" s="1" t="s">
        <v>555</v>
      </c>
      <c r="G12" s="2">
        <v>44757</v>
      </c>
      <c r="I12" s="3">
        <v>4</v>
      </c>
      <c r="J12" s="3">
        <v>2</v>
      </c>
      <c r="K12" s="4">
        <v>0.5</v>
      </c>
      <c r="L12" s="3">
        <v>1</v>
      </c>
      <c r="M12" s="3">
        <v>0</v>
      </c>
      <c r="N12" s="4">
        <v>0</v>
      </c>
      <c r="O12" s="3">
        <v>3</v>
      </c>
      <c r="P12" s="3">
        <v>2</v>
      </c>
      <c r="Q12" s="4">
        <v>0.5</v>
      </c>
      <c r="R12" s="3" t="str">
        <f t="shared" si="0"/>
        <v>C区</v>
      </c>
    </row>
    <row r="13" spans="1:18">
      <c r="A13" s="1" t="s">
        <v>544</v>
      </c>
      <c r="B13" s="1" t="s">
        <v>143</v>
      </c>
      <c r="C13" s="1" t="s">
        <v>41</v>
      </c>
      <c r="D13" s="1" t="s">
        <v>545</v>
      </c>
      <c r="E13" s="1">
        <v>54575</v>
      </c>
      <c r="F13" s="1" t="s">
        <v>556</v>
      </c>
      <c r="G13" s="2">
        <v>44551</v>
      </c>
      <c r="I13" s="3">
        <v>15</v>
      </c>
      <c r="J13" s="3">
        <v>4</v>
      </c>
      <c r="K13" s="4">
        <v>0.266666666666667</v>
      </c>
      <c r="L13" s="3">
        <v>12</v>
      </c>
      <c r="M13" s="3">
        <v>4</v>
      </c>
      <c r="N13" s="4">
        <v>0.266666666666667</v>
      </c>
      <c r="O13" s="3">
        <v>3</v>
      </c>
      <c r="P13" s="3">
        <v>0</v>
      </c>
      <c r="Q13" s="4">
        <v>0</v>
      </c>
      <c r="R13" s="3" t="str">
        <f t="shared" si="0"/>
        <v>C区</v>
      </c>
    </row>
    <row r="14" spans="1:18">
      <c r="A14" s="1" t="s">
        <v>544</v>
      </c>
      <c r="B14" s="1" t="s">
        <v>143</v>
      </c>
      <c r="C14" s="1" t="s">
        <v>41</v>
      </c>
      <c r="D14" s="1" t="s">
        <v>545</v>
      </c>
      <c r="E14" s="1">
        <v>59119</v>
      </c>
      <c r="F14" s="1" t="s">
        <v>557</v>
      </c>
      <c r="G14" s="2">
        <v>44649</v>
      </c>
      <c r="I14" s="3">
        <v>14</v>
      </c>
      <c r="J14" s="3">
        <v>6</v>
      </c>
      <c r="K14" s="4">
        <v>0.428571428571429</v>
      </c>
      <c r="L14" s="3">
        <v>7</v>
      </c>
      <c r="M14" s="3">
        <v>4</v>
      </c>
      <c r="N14" s="4">
        <v>0.285714285714286</v>
      </c>
      <c r="O14" s="3">
        <v>7</v>
      </c>
      <c r="P14" s="3">
        <v>2</v>
      </c>
      <c r="Q14" s="4">
        <v>0.142857142857143</v>
      </c>
      <c r="R14" s="3" t="str">
        <f t="shared" si="0"/>
        <v>C区</v>
      </c>
    </row>
    <row r="15" spans="1:18">
      <c r="A15" s="1" t="s">
        <v>544</v>
      </c>
      <c r="B15" s="1" t="s">
        <v>143</v>
      </c>
      <c r="C15" s="1" t="s">
        <v>41</v>
      </c>
      <c r="D15" s="1" t="s">
        <v>545</v>
      </c>
      <c r="E15" s="1">
        <v>60884</v>
      </c>
      <c r="F15" s="1" t="s">
        <v>558</v>
      </c>
      <c r="G15" s="2">
        <v>44760</v>
      </c>
      <c r="I15" s="3">
        <v>3</v>
      </c>
      <c r="J15" s="3">
        <v>2</v>
      </c>
      <c r="K15" s="4">
        <v>0.666666666666667</v>
      </c>
      <c r="L15" s="3">
        <v>0</v>
      </c>
      <c r="M15" s="3">
        <v>0</v>
      </c>
      <c r="N15" s="4">
        <v>0</v>
      </c>
      <c r="O15" s="3">
        <v>3</v>
      </c>
      <c r="P15" s="3">
        <v>2</v>
      </c>
      <c r="Q15" s="4">
        <v>0.666666666666667</v>
      </c>
      <c r="R15" s="3" t="str">
        <f t="shared" si="0"/>
        <v>C区</v>
      </c>
    </row>
    <row r="16" spans="1:18">
      <c r="A16" s="1" t="s">
        <v>544</v>
      </c>
      <c r="B16" s="1" t="s">
        <v>143</v>
      </c>
      <c r="C16" s="1" t="s">
        <v>41</v>
      </c>
      <c r="D16" s="1" t="s">
        <v>545</v>
      </c>
      <c r="E16" s="1">
        <v>25916</v>
      </c>
      <c r="F16" s="1" t="s">
        <v>559</v>
      </c>
      <c r="G16" s="2">
        <v>44551</v>
      </c>
      <c r="I16" s="3">
        <v>5</v>
      </c>
      <c r="J16" s="3">
        <v>0</v>
      </c>
      <c r="K16" s="4">
        <v>0</v>
      </c>
      <c r="L16" s="3">
        <v>0</v>
      </c>
      <c r="M16" s="3">
        <v>0</v>
      </c>
      <c r="N16" s="4">
        <v>0</v>
      </c>
      <c r="O16" s="3">
        <v>5</v>
      </c>
      <c r="P16" s="3">
        <v>0</v>
      </c>
      <c r="Q16" s="4">
        <v>0</v>
      </c>
      <c r="R16" s="3" t="str">
        <f t="shared" si="0"/>
        <v>C区</v>
      </c>
    </row>
    <row r="17" spans="1:18">
      <c r="A17" s="1" t="s">
        <v>544</v>
      </c>
      <c r="B17" s="1" t="s">
        <v>143</v>
      </c>
      <c r="C17" s="1" t="s">
        <v>41</v>
      </c>
      <c r="D17" s="1" t="s">
        <v>545</v>
      </c>
      <c r="E17" s="1">
        <v>59866</v>
      </c>
      <c r="F17" s="1" t="s">
        <v>560</v>
      </c>
      <c r="G17" s="2">
        <v>44688</v>
      </c>
      <c r="I17" s="3">
        <v>4</v>
      </c>
      <c r="J17" s="3">
        <v>4</v>
      </c>
      <c r="K17" s="4">
        <v>1</v>
      </c>
      <c r="L17" s="3">
        <v>0</v>
      </c>
      <c r="M17" s="3">
        <v>0</v>
      </c>
      <c r="N17" s="4">
        <v>0</v>
      </c>
      <c r="O17" s="3">
        <v>4</v>
      </c>
      <c r="P17" s="3">
        <v>4</v>
      </c>
      <c r="Q17" s="4">
        <v>1</v>
      </c>
      <c r="R17" s="3" t="str">
        <f t="shared" si="0"/>
        <v>C区</v>
      </c>
    </row>
    <row r="18" spans="1:18">
      <c r="A18" s="1" t="s">
        <v>544</v>
      </c>
      <c r="B18" s="1" t="s">
        <v>143</v>
      </c>
      <c r="C18" s="1" t="s">
        <v>41</v>
      </c>
      <c r="D18" s="1" t="s">
        <v>545</v>
      </c>
      <c r="E18" s="1">
        <v>53981</v>
      </c>
      <c r="F18" s="1" t="s">
        <v>561</v>
      </c>
      <c r="G18" s="2">
        <v>44509</v>
      </c>
      <c r="I18" s="3">
        <v>3</v>
      </c>
      <c r="J18" s="3">
        <v>1</v>
      </c>
      <c r="K18" s="4">
        <v>0.333333333333333</v>
      </c>
      <c r="L18" s="3">
        <v>2</v>
      </c>
      <c r="M18" s="3">
        <v>0</v>
      </c>
      <c r="N18" s="4">
        <v>0</v>
      </c>
      <c r="O18" s="3">
        <v>1</v>
      </c>
      <c r="P18" s="3">
        <v>1</v>
      </c>
      <c r="Q18" s="4">
        <v>0.333333333333333</v>
      </c>
      <c r="R18" s="3" t="str">
        <f t="shared" si="0"/>
        <v>C区</v>
      </c>
    </row>
    <row r="19" spans="1:18">
      <c r="A19" s="1" t="s">
        <v>544</v>
      </c>
      <c r="B19" s="1" t="s">
        <v>143</v>
      </c>
      <c r="C19" s="1" t="s">
        <v>41</v>
      </c>
      <c r="D19" s="1" t="s">
        <v>545</v>
      </c>
      <c r="E19" s="1">
        <v>22036</v>
      </c>
      <c r="F19" s="1" t="s">
        <v>562</v>
      </c>
      <c r="G19" s="2">
        <v>44544</v>
      </c>
      <c r="I19" s="3">
        <v>9</v>
      </c>
      <c r="J19" s="3">
        <v>6</v>
      </c>
      <c r="K19" s="4">
        <v>0.666666666666667</v>
      </c>
      <c r="L19" s="3">
        <v>7</v>
      </c>
      <c r="M19" s="3">
        <v>5</v>
      </c>
      <c r="N19" s="4">
        <v>0.555555555555556</v>
      </c>
      <c r="O19" s="3">
        <v>2</v>
      </c>
      <c r="P19" s="3">
        <v>1</v>
      </c>
      <c r="Q19" s="4">
        <v>0.111111111111111</v>
      </c>
      <c r="R19" s="3" t="str">
        <f t="shared" si="0"/>
        <v>C区</v>
      </c>
    </row>
    <row r="20" spans="1:18">
      <c r="A20" s="1" t="s">
        <v>544</v>
      </c>
      <c r="B20" s="1" t="s">
        <v>143</v>
      </c>
      <c r="C20" s="1" t="s">
        <v>41</v>
      </c>
      <c r="D20" s="1" t="s">
        <v>563</v>
      </c>
      <c r="E20" s="1">
        <v>51372</v>
      </c>
      <c r="F20" s="1" t="s">
        <v>564</v>
      </c>
      <c r="G20" s="2">
        <v>45566</v>
      </c>
      <c r="I20" s="3">
        <v>10</v>
      </c>
      <c r="J20" s="3">
        <v>5</v>
      </c>
      <c r="K20" s="4">
        <v>0.5</v>
      </c>
      <c r="L20" s="3">
        <v>6</v>
      </c>
      <c r="M20" s="3">
        <v>3</v>
      </c>
      <c r="N20" s="4">
        <v>0.3</v>
      </c>
      <c r="O20" s="3">
        <v>4</v>
      </c>
      <c r="P20" s="3">
        <v>2</v>
      </c>
      <c r="Q20" s="4">
        <v>0.2</v>
      </c>
      <c r="R20" s="3" t="str">
        <f t="shared" si="0"/>
        <v>C区</v>
      </c>
    </row>
    <row r="21" spans="1:18">
      <c r="A21" s="1" t="s">
        <v>544</v>
      </c>
      <c r="B21" s="1" t="s">
        <v>143</v>
      </c>
      <c r="C21" s="1" t="s">
        <v>41</v>
      </c>
      <c r="D21" s="1" t="s">
        <v>563</v>
      </c>
      <c r="E21" s="1">
        <v>22006</v>
      </c>
      <c r="F21" s="1" t="s">
        <v>565</v>
      </c>
      <c r="G21" s="2">
        <v>45566</v>
      </c>
      <c r="I21" s="3">
        <v>3</v>
      </c>
      <c r="J21" s="3">
        <v>1</v>
      </c>
      <c r="K21" s="4">
        <v>0.333333333333333</v>
      </c>
      <c r="L21" s="3">
        <v>2</v>
      </c>
      <c r="M21" s="3">
        <v>1</v>
      </c>
      <c r="N21" s="4">
        <v>0.333333333333333</v>
      </c>
      <c r="O21" s="3">
        <v>1</v>
      </c>
      <c r="P21" s="3">
        <v>0</v>
      </c>
      <c r="Q21" s="4">
        <v>0</v>
      </c>
      <c r="R21" s="3" t="str">
        <f t="shared" si="0"/>
        <v>C区</v>
      </c>
    </row>
    <row r="22" spans="1:18">
      <c r="A22" s="1" t="s">
        <v>544</v>
      </c>
      <c r="B22" s="1" t="s">
        <v>143</v>
      </c>
      <c r="C22" s="1" t="s">
        <v>41</v>
      </c>
      <c r="D22" s="1" t="s">
        <v>563</v>
      </c>
      <c r="E22" s="1">
        <v>57674</v>
      </c>
      <c r="F22" s="1" t="s">
        <v>566</v>
      </c>
      <c r="G22" s="2">
        <v>44572</v>
      </c>
      <c r="I22" s="3">
        <v>6</v>
      </c>
      <c r="J22" s="3">
        <v>2</v>
      </c>
      <c r="K22" s="4">
        <v>0.333333333333333</v>
      </c>
      <c r="L22" s="3">
        <v>2</v>
      </c>
      <c r="M22" s="3">
        <v>0</v>
      </c>
      <c r="N22" s="4">
        <v>0</v>
      </c>
      <c r="O22" s="3">
        <v>4</v>
      </c>
      <c r="P22" s="3">
        <v>2</v>
      </c>
      <c r="Q22" s="4">
        <v>0.333333333333333</v>
      </c>
      <c r="R22" s="3" t="str">
        <f t="shared" si="0"/>
        <v>C区</v>
      </c>
    </row>
    <row r="23" spans="1:18">
      <c r="A23" s="1" t="s">
        <v>544</v>
      </c>
      <c r="B23" s="1" t="s">
        <v>143</v>
      </c>
      <c r="C23" s="1" t="s">
        <v>41</v>
      </c>
      <c r="D23" s="1" t="s">
        <v>563</v>
      </c>
      <c r="E23" s="1">
        <v>59169</v>
      </c>
      <c r="F23" s="1" t="s">
        <v>567</v>
      </c>
      <c r="G23" s="2">
        <v>44649</v>
      </c>
      <c r="I23" s="3">
        <v>16</v>
      </c>
      <c r="J23" s="3">
        <v>9</v>
      </c>
      <c r="K23" s="4">
        <v>0.5625</v>
      </c>
      <c r="L23" s="3">
        <v>9</v>
      </c>
      <c r="M23" s="3">
        <v>5</v>
      </c>
      <c r="N23" s="4">
        <v>0.3125</v>
      </c>
      <c r="O23" s="3">
        <v>7</v>
      </c>
      <c r="P23" s="3">
        <v>4</v>
      </c>
      <c r="Q23" s="4">
        <v>0.25</v>
      </c>
      <c r="R23" s="3" t="str">
        <f t="shared" si="0"/>
        <v>C区</v>
      </c>
    </row>
    <row r="24" spans="1:18">
      <c r="A24" s="1" t="s">
        <v>544</v>
      </c>
      <c r="B24" s="1" t="s">
        <v>143</v>
      </c>
      <c r="C24" s="1" t="s">
        <v>41</v>
      </c>
      <c r="D24" s="1" t="s">
        <v>563</v>
      </c>
      <c r="E24" s="1">
        <v>63336</v>
      </c>
      <c r="F24" s="1" t="s">
        <v>195</v>
      </c>
      <c r="G24" s="2">
        <v>46113</v>
      </c>
      <c r="I24" s="3">
        <v>8</v>
      </c>
      <c r="J24" s="3">
        <v>3</v>
      </c>
      <c r="K24" s="4">
        <v>0.375</v>
      </c>
      <c r="L24" s="3">
        <v>8</v>
      </c>
      <c r="M24" s="3">
        <v>3</v>
      </c>
      <c r="N24" s="4">
        <v>0.375</v>
      </c>
      <c r="O24" s="3">
        <v>0</v>
      </c>
      <c r="P24" s="3">
        <v>0</v>
      </c>
      <c r="Q24" s="4">
        <v>0</v>
      </c>
      <c r="R24" s="3" t="str">
        <f t="shared" si="0"/>
        <v>C区</v>
      </c>
    </row>
    <row r="25" spans="1:18">
      <c r="A25" s="1" t="s">
        <v>544</v>
      </c>
      <c r="B25" s="1" t="s">
        <v>143</v>
      </c>
      <c r="C25" s="1" t="s">
        <v>41</v>
      </c>
      <c r="D25" s="1" t="s">
        <v>563</v>
      </c>
      <c r="E25" s="1">
        <v>5175</v>
      </c>
      <c r="F25" s="1" t="s">
        <v>568</v>
      </c>
      <c r="G25" s="2">
        <v>45809</v>
      </c>
      <c r="I25" s="3">
        <v>19</v>
      </c>
      <c r="J25" s="3">
        <v>12</v>
      </c>
      <c r="K25" s="4">
        <v>0.631578947368421</v>
      </c>
      <c r="L25" s="3">
        <v>2</v>
      </c>
      <c r="M25" s="3">
        <v>0</v>
      </c>
      <c r="N25" s="4">
        <v>0</v>
      </c>
      <c r="O25" s="3">
        <v>17</v>
      </c>
      <c r="P25" s="3">
        <v>12</v>
      </c>
      <c r="Q25" s="4">
        <v>0.631578947368421</v>
      </c>
      <c r="R25" s="3" t="str">
        <f t="shared" si="0"/>
        <v>C区</v>
      </c>
    </row>
    <row r="26" spans="1:18">
      <c r="A26" s="1" t="s">
        <v>544</v>
      </c>
      <c r="B26" s="1" t="s">
        <v>143</v>
      </c>
      <c r="C26" s="1" t="s">
        <v>41</v>
      </c>
      <c r="D26" s="1" t="s">
        <v>563</v>
      </c>
      <c r="E26" s="1">
        <v>62171</v>
      </c>
      <c r="F26" s="1" t="s">
        <v>569</v>
      </c>
      <c r="G26" s="2">
        <v>45627</v>
      </c>
      <c r="I26" s="3">
        <v>2</v>
      </c>
      <c r="J26" s="3">
        <v>1</v>
      </c>
      <c r="K26" s="4">
        <v>0.5</v>
      </c>
      <c r="L26" s="3">
        <v>0</v>
      </c>
      <c r="M26" s="3">
        <v>0</v>
      </c>
      <c r="N26" s="4">
        <v>0</v>
      </c>
      <c r="O26" s="3">
        <v>2</v>
      </c>
      <c r="P26" s="3">
        <v>1</v>
      </c>
      <c r="Q26" s="4">
        <v>0.5</v>
      </c>
      <c r="R26" s="3" t="str">
        <f t="shared" si="0"/>
        <v>C区</v>
      </c>
    </row>
    <row r="27" spans="1:18">
      <c r="A27" s="1" t="s">
        <v>544</v>
      </c>
      <c r="B27" s="1" t="s">
        <v>143</v>
      </c>
      <c r="C27" s="1" t="s">
        <v>41</v>
      </c>
      <c r="D27" s="1" t="s">
        <v>563</v>
      </c>
      <c r="E27" s="1">
        <v>50534</v>
      </c>
      <c r="F27" s="1" t="s">
        <v>570</v>
      </c>
      <c r="G27" s="2">
        <v>45901</v>
      </c>
      <c r="I27" s="3">
        <v>10</v>
      </c>
      <c r="J27" s="3">
        <v>5</v>
      </c>
      <c r="K27" s="4">
        <v>0.5</v>
      </c>
      <c r="L27" s="3">
        <v>7</v>
      </c>
      <c r="M27" s="3">
        <v>3</v>
      </c>
      <c r="N27" s="4">
        <v>0.3</v>
      </c>
      <c r="O27" s="3">
        <v>3</v>
      </c>
      <c r="P27" s="3">
        <v>2</v>
      </c>
      <c r="Q27" s="4">
        <v>0.2</v>
      </c>
      <c r="R27" s="3" t="str">
        <f t="shared" si="0"/>
        <v>C区</v>
      </c>
    </row>
    <row r="28" spans="1:18">
      <c r="A28" s="1" t="s">
        <v>544</v>
      </c>
      <c r="B28" s="1" t="s">
        <v>143</v>
      </c>
      <c r="C28" s="1" t="s">
        <v>41</v>
      </c>
      <c r="D28" s="1" t="s">
        <v>563</v>
      </c>
      <c r="E28" s="1">
        <v>22410</v>
      </c>
      <c r="F28" s="1" t="s">
        <v>571</v>
      </c>
      <c r="G28" s="2">
        <v>44774</v>
      </c>
      <c r="I28" s="3">
        <v>20</v>
      </c>
      <c r="J28" s="3">
        <v>13</v>
      </c>
      <c r="K28" s="4">
        <v>0.65</v>
      </c>
      <c r="L28" s="3">
        <v>14</v>
      </c>
      <c r="M28" s="3">
        <v>9</v>
      </c>
      <c r="N28" s="4">
        <v>0.45</v>
      </c>
      <c r="O28" s="3">
        <v>6</v>
      </c>
      <c r="P28" s="3">
        <v>4</v>
      </c>
      <c r="Q28" s="4">
        <v>0.2</v>
      </c>
      <c r="R28" s="3" t="str">
        <f t="shared" si="0"/>
        <v>C区</v>
      </c>
    </row>
    <row r="29" spans="1:18">
      <c r="A29" s="1" t="s">
        <v>544</v>
      </c>
      <c r="B29" s="1" t="s">
        <v>143</v>
      </c>
      <c r="C29" s="1" t="s">
        <v>41</v>
      </c>
      <c r="D29" s="1" t="s">
        <v>563</v>
      </c>
      <c r="E29" s="1">
        <v>52276</v>
      </c>
      <c r="F29" s="1" t="s">
        <v>572</v>
      </c>
      <c r="G29" s="2">
        <v>45566</v>
      </c>
      <c r="I29" s="3">
        <v>5</v>
      </c>
      <c r="J29" s="3">
        <v>2</v>
      </c>
      <c r="K29" s="4">
        <v>0.4</v>
      </c>
      <c r="L29" s="3">
        <v>4</v>
      </c>
      <c r="M29" s="3">
        <v>1</v>
      </c>
      <c r="N29" s="4">
        <v>0.2</v>
      </c>
      <c r="O29" s="3">
        <v>1</v>
      </c>
      <c r="P29" s="3">
        <v>1</v>
      </c>
      <c r="Q29" s="4">
        <v>0.2</v>
      </c>
      <c r="R29" s="3" t="str">
        <f t="shared" si="0"/>
        <v>C区</v>
      </c>
    </row>
    <row r="30" spans="1:18">
      <c r="A30" s="1" t="s">
        <v>544</v>
      </c>
      <c r="B30" s="1" t="s">
        <v>143</v>
      </c>
      <c r="C30" s="1" t="s">
        <v>41</v>
      </c>
      <c r="D30" s="1" t="s">
        <v>563</v>
      </c>
      <c r="E30" s="1">
        <v>21887</v>
      </c>
      <c r="F30" s="1" t="s">
        <v>573</v>
      </c>
      <c r="G30" s="2">
        <v>45536</v>
      </c>
      <c r="I30" s="3">
        <v>23</v>
      </c>
      <c r="J30" s="3">
        <v>10</v>
      </c>
      <c r="K30" s="4">
        <v>0.434782608695652</v>
      </c>
      <c r="L30" s="3">
        <v>18</v>
      </c>
      <c r="M30" s="3">
        <v>7</v>
      </c>
      <c r="N30" s="4">
        <v>0.304347826086957</v>
      </c>
      <c r="O30" s="3">
        <v>5</v>
      </c>
      <c r="P30" s="3">
        <v>3</v>
      </c>
      <c r="Q30" s="4">
        <v>0.130434782608696</v>
      </c>
      <c r="R30" s="3" t="str">
        <f t="shared" si="0"/>
        <v>C区</v>
      </c>
    </row>
    <row r="31" spans="1:18">
      <c r="A31" s="1" t="s">
        <v>544</v>
      </c>
      <c r="B31" s="1" t="s">
        <v>143</v>
      </c>
      <c r="C31" s="1" t="s">
        <v>41</v>
      </c>
      <c r="D31" s="1" t="s">
        <v>563</v>
      </c>
      <c r="E31" s="1">
        <v>62756</v>
      </c>
      <c r="F31" s="1" t="s">
        <v>574</v>
      </c>
      <c r="G31" s="2">
        <v>45870</v>
      </c>
      <c r="I31" s="3">
        <v>4</v>
      </c>
      <c r="J31" s="3">
        <v>1</v>
      </c>
      <c r="K31" s="4">
        <v>0.25</v>
      </c>
      <c r="L31" s="3">
        <v>2</v>
      </c>
      <c r="M31" s="3">
        <v>1</v>
      </c>
      <c r="N31" s="4">
        <v>0.25</v>
      </c>
      <c r="O31" s="3">
        <v>2</v>
      </c>
      <c r="P31" s="3">
        <v>0</v>
      </c>
      <c r="Q31" s="4">
        <v>0</v>
      </c>
      <c r="R31" s="3" t="str">
        <f t="shared" si="0"/>
        <v>C区</v>
      </c>
    </row>
    <row r="32" spans="1:18">
      <c r="A32" s="1" t="s">
        <v>544</v>
      </c>
      <c r="B32" s="1" t="s">
        <v>143</v>
      </c>
      <c r="C32" s="1" t="s">
        <v>41</v>
      </c>
      <c r="D32" s="1" t="s">
        <v>563</v>
      </c>
      <c r="E32" s="1">
        <v>58688</v>
      </c>
      <c r="F32" s="1" t="s">
        <v>575</v>
      </c>
      <c r="G32" s="2">
        <v>44635</v>
      </c>
      <c r="I32" s="3">
        <v>9</v>
      </c>
      <c r="J32" s="3">
        <v>1</v>
      </c>
      <c r="K32" s="4">
        <v>0.111111111111111</v>
      </c>
      <c r="L32" s="3">
        <v>5</v>
      </c>
      <c r="M32" s="3">
        <v>0</v>
      </c>
      <c r="N32" s="4">
        <v>0</v>
      </c>
      <c r="O32" s="3">
        <v>4</v>
      </c>
      <c r="P32" s="3">
        <v>1</v>
      </c>
      <c r="Q32" s="4">
        <v>0.111111111111111</v>
      </c>
      <c r="R32" s="3" t="str">
        <f t="shared" si="0"/>
        <v>C区</v>
      </c>
    </row>
    <row r="33" spans="1:18">
      <c r="A33" s="1" t="s">
        <v>544</v>
      </c>
      <c r="B33" s="1" t="s">
        <v>143</v>
      </c>
      <c r="C33" s="1" t="s">
        <v>41</v>
      </c>
      <c r="D33" s="1" t="s">
        <v>563</v>
      </c>
      <c r="E33" s="1">
        <v>57906</v>
      </c>
      <c r="F33" s="1" t="s">
        <v>576</v>
      </c>
      <c r="G33" s="2">
        <v>44607</v>
      </c>
      <c r="I33" s="3">
        <v>3</v>
      </c>
      <c r="J33" s="3">
        <v>2</v>
      </c>
      <c r="K33" s="4">
        <v>0.666666666666667</v>
      </c>
      <c r="L33" s="3">
        <v>0</v>
      </c>
      <c r="M33" s="3">
        <v>0</v>
      </c>
      <c r="N33" s="4">
        <v>0</v>
      </c>
      <c r="O33" s="3">
        <v>3</v>
      </c>
      <c r="P33" s="3">
        <v>2</v>
      </c>
      <c r="Q33" s="4">
        <v>0.666666666666667</v>
      </c>
      <c r="R33" s="3" t="str">
        <f t="shared" si="0"/>
        <v>C区</v>
      </c>
    </row>
    <row r="34" spans="1:18">
      <c r="A34" s="1" t="s">
        <v>544</v>
      </c>
      <c r="B34" s="1" t="s">
        <v>143</v>
      </c>
      <c r="C34" s="1" t="s">
        <v>41</v>
      </c>
      <c r="D34" s="1" t="s">
        <v>563</v>
      </c>
      <c r="E34" s="1">
        <v>57907</v>
      </c>
      <c r="F34" s="1" t="s">
        <v>577</v>
      </c>
      <c r="G34" s="2">
        <v>44607</v>
      </c>
      <c r="I34" s="3">
        <v>13</v>
      </c>
      <c r="J34" s="3">
        <v>5</v>
      </c>
      <c r="K34" s="4">
        <v>0.384615384615385</v>
      </c>
      <c r="L34" s="3">
        <v>9</v>
      </c>
      <c r="M34" s="3">
        <v>2</v>
      </c>
      <c r="N34" s="4">
        <v>0.153846153846154</v>
      </c>
      <c r="O34" s="3">
        <v>4</v>
      </c>
      <c r="P34" s="3">
        <v>3</v>
      </c>
      <c r="Q34" s="4">
        <v>0.230769230769231</v>
      </c>
      <c r="R34" s="3" t="str">
        <f t="shared" si="0"/>
        <v>C区</v>
      </c>
    </row>
    <row r="35" spans="1:18">
      <c r="A35" s="1" t="s">
        <v>544</v>
      </c>
      <c r="B35" s="1" t="s">
        <v>143</v>
      </c>
      <c r="C35" s="1" t="s">
        <v>41</v>
      </c>
      <c r="D35" s="1" t="s">
        <v>563</v>
      </c>
      <c r="E35" s="1">
        <v>5170</v>
      </c>
      <c r="F35" s="1" t="s">
        <v>578</v>
      </c>
      <c r="G35" s="2">
        <v>45962</v>
      </c>
      <c r="I35" s="3">
        <v>8</v>
      </c>
      <c r="J35" s="3">
        <v>2</v>
      </c>
      <c r="K35" s="4">
        <v>0.25</v>
      </c>
      <c r="L35" s="3">
        <v>5</v>
      </c>
      <c r="M35" s="3">
        <v>0</v>
      </c>
      <c r="N35" s="4">
        <v>0</v>
      </c>
      <c r="O35" s="3">
        <v>3</v>
      </c>
      <c r="P35" s="3">
        <v>2</v>
      </c>
      <c r="Q35" s="4">
        <v>0.25</v>
      </c>
      <c r="R35" s="3" t="str">
        <f t="shared" si="0"/>
        <v>C区</v>
      </c>
    </row>
    <row r="36" spans="1:18">
      <c r="A36" s="1" t="s">
        <v>544</v>
      </c>
      <c r="B36" s="1" t="s">
        <v>143</v>
      </c>
      <c r="C36" s="1" t="s">
        <v>41</v>
      </c>
      <c r="D36" s="1" t="s">
        <v>563</v>
      </c>
      <c r="E36" s="1">
        <v>4684</v>
      </c>
      <c r="F36" s="1" t="s">
        <v>579</v>
      </c>
      <c r="G36" s="2">
        <v>45505</v>
      </c>
      <c r="I36" s="3">
        <v>2</v>
      </c>
      <c r="J36" s="3">
        <v>2</v>
      </c>
      <c r="K36" s="4">
        <v>1</v>
      </c>
      <c r="L36" s="3">
        <v>1</v>
      </c>
      <c r="M36" s="3">
        <v>1</v>
      </c>
      <c r="N36" s="4">
        <v>0.5</v>
      </c>
      <c r="O36" s="3">
        <v>1</v>
      </c>
      <c r="P36" s="3">
        <v>1</v>
      </c>
      <c r="Q36" s="4">
        <v>0.5</v>
      </c>
      <c r="R36" s="3" t="str">
        <f t="shared" si="0"/>
        <v>C区</v>
      </c>
    </row>
    <row r="37" spans="1:18">
      <c r="A37" s="1" t="s">
        <v>544</v>
      </c>
      <c r="B37" s="1" t="s">
        <v>143</v>
      </c>
      <c r="C37" s="1" t="s">
        <v>41</v>
      </c>
      <c r="D37" s="1" t="s">
        <v>563</v>
      </c>
      <c r="E37" s="1">
        <v>58810</v>
      </c>
      <c r="F37" s="1" t="s">
        <v>580</v>
      </c>
      <c r="G37" s="2">
        <v>44635</v>
      </c>
      <c r="I37" s="3">
        <v>7</v>
      </c>
      <c r="J37" s="3">
        <v>2</v>
      </c>
      <c r="K37" s="4">
        <v>0.285714285714286</v>
      </c>
      <c r="L37" s="3">
        <v>4</v>
      </c>
      <c r="M37" s="3">
        <v>1</v>
      </c>
      <c r="N37" s="4">
        <v>0.142857142857143</v>
      </c>
      <c r="O37" s="3">
        <v>3</v>
      </c>
      <c r="P37" s="3">
        <v>1</v>
      </c>
      <c r="Q37" s="4">
        <v>0.142857142857143</v>
      </c>
      <c r="R37" s="3" t="str">
        <f t="shared" si="0"/>
        <v>C区</v>
      </c>
    </row>
    <row r="38" spans="1:18">
      <c r="A38" s="1" t="s">
        <v>544</v>
      </c>
      <c r="B38" s="1" t="s">
        <v>143</v>
      </c>
      <c r="C38" s="1" t="s">
        <v>41</v>
      </c>
      <c r="D38" s="1" t="s">
        <v>581</v>
      </c>
      <c r="E38" s="1">
        <v>57995</v>
      </c>
      <c r="F38" s="1" t="s">
        <v>221</v>
      </c>
      <c r="G38" s="2">
        <v>44621</v>
      </c>
      <c r="I38" s="3">
        <v>8</v>
      </c>
      <c r="J38" s="3">
        <v>4</v>
      </c>
      <c r="K38" s="4">
        <v>0.5</v>
      </c>
      <c r="L38" s="3">
        <v>2</v>
      </c>
      <c r="M38" s="3">
        <v>1</v>
      </c>
      <c r="N38" s="4">
        <v>0.125</v>
      </c>
      <c r="O38" s="3">
        <v>6</v>
      </c>
      <c r="P38" s="3">
        <v>3</v>
      </c>
      <c r="Q38" s="4">
        <v>0.375</v>
      </c>
      <c r="R38" s="3" t="str">
        <f t="shared" si="0"/>
        <v>C区</v>
      </c>
    </row>
    <row r="39" spans="1:18">
      <c r="A39" s="1" t="s">
        <v>544</v>
      </c>
      <c r="B39" s="1" t="s">
        <v>143</v>
      </c>
      <c r="C39" s="1" t="s">
        <v>41</v>
      </c>
      <c r="D39" s="1" t="s">
        <v>581</v>
      </c>
      <c r="E39" s="1">
        <v>21051</v>
      </c>
      <c r="F39" s="1" t="s">
        <v>254</v>
      </c>
      <c r="G39" s="2">
        <v>45627</v>
      </c>
      <c r="I39" s="3">
        <v>9</v>
      </c>
      <c r="J39" s="3">
        <v>6</v>
      </c>
      <c r="K39" s="4">
        <v>0.666666666666667</v>
      </c>
      <c r="L39" s="3">
        <v>9</v>
      </c>
      <c r="M39" s="3">
        <v>6</v>
      </c>
      <c r="N39" s="4">
        <v>0.666666666666667</v>
      </c>
      <c r="O39" s="3">
        <v>0</v>
      </c>
      <c r="P39" s="3">
        <v>0</v>
      </c>
      <c r="Q39" s="4">
        <v>0</v>
      </c>
      <c r="R39" s="3" t="str">
        <f t="shared" si="0"/>
        <v>C区</v>
      </c>
    </row>
    <row r="40" spans="1:18">
      <c r="A40" s="1" t="s">
        <v>544</v>
      </c>
      <c r="B40" s="1" t="s">
        <v>143</v>
      </c>
      <c r="C40" s="1" t="s">
        <v>41</v>
      </c>
      <c r="D40" s="1" t="s">
        <v>581</v>
      </c>
      <c r="E40" s="1">
        <v>60916</v>
      </c>
      <c r="F40" s="1" t="s">
        <v>582</v>
      </c>
      <c r="G40" s="2">
        <v>44756</v>
      </c>
      <c r="I40" s="3">
        <v>4</v>
      </c>
      <c r="J40" s="3">
        <v>2</v>
      </c>
      <c r="K40" s="4">
        <v>0.5</v>
      </c>
      <c r="L40" s="3">
        <v>0</v>
      </c>
      <c r="M40" s="3">
        <v>0</v>
      </c>
      <c r="N40" s="4">
        <v>0</v>
      </c>
      <c r="O40" s="3">
        <v>4</v>
      </c>
      <c r="P40" s="3">
        <v>2</v>
      </c>
      <c r="Q40" s="4">
        <v>0.5</v>
      </c>
      <c r="R40" s="3" t="str">
        <f t="shared" si="0"/>
        <v>C区</v>
      </c>
    </row>
    <row r="41" spans="1:18">
      <c r="A41" s="1" t="s">
        <v>544</v>
      </c>
      <c r="B41" s="1" t="s">
        <v>143</v>
      </c>
      <c r="C41" s="1" t="s">
        <v>41</v>
      </c>
      <c r="D41" s="1" t="s">
        <v>581</v>
      </c>
      <c r="E41" s="1">
        <v>21351</v>
      </c>
      <c r="F41" s="1" t="s">
        <v>583</v>
      </c>
      <c r="G41" s="2">
        <v>45992</v>
      </c>
      <c r="I41" s="3">
        <v>9</v>
      </c>
      <c r="J41" s="3">
        <v>7</v>
      </c>
      <c r="K41" s="4">
        <v>0.777777777777778</v>
      </c>
      <c r="L41" s="3">
        <v>5</v>
      </c>
      <c r="M41" s="3">
        <v>4</v>
      </c>
      <c r="N41" s="4">
        <v>0.444444444444444</v>
      </c>
      <c r="O41" s="3">
        <v>4</v>
      </c>
      <c r="P41" s="3">
        <v>3</v>
      </c>
      <c r="Q41" s="4">
        <v>0.333333333333333</v>
      </c>
      <c r="R41" s="3" t="str">
        <f t="shared" si="0"/>
        <v>C区</v>
      </c>
    </row>
    <row r="42" spans="1:18">
      <c r="A42" s="1" t="s">
        <v>544</v>
      </c>
      <c r="B42" s="1" t="s">
        <v>143</v>
      </c>
      <c r="C42" s="1" t="s">
        <v>41</v>
      </c>
      <c r="D42" s="1" t="s">
        <v>581</v>
      </c>
      <c r="E42" s="1">
        <v>25705</v>
      </c>
      <c r="F42" s="1" t="s">
        <v>584</v>
      </c>
      <c r="G42" s="2">
        <v>45962</v>
      </c>
      <c r="I42" s="3">
        <v>7</v>
      </c>
      <c r="J42" s="3">
        <v>3</v>
      </c>
      <c r="K42" s="4">
        <v>0.428571428571429</v>
      </c>
      <c r="L42" s="3">
        <v>4</v>
      </c>
      <c r="M42" s="3">
        <v>2</v>
      </c>
      <c r="N42" s="4">
        <v>0.285714285714286</v>
      </c>
      <c r="O42" s="3">
        <v>3</v>
      </c>
      <c r="P42" s="3">
        <v>1</v>
      </c>
      <c r="Q42" s="4">
        <v>0.142857142857143</v>
      </c>
      <c r="R42" s="3" t="str">
        <f t="shared" si="0"/>
        <v>C区</v>
      </c>
    </row>
    <row r="43" spans="1:18">
      <c r="A43" s="1" t="s">
        <v>544</v>
      </c>
      <c r="B43" s="1" t="s">
        <v>143</v>
      </c>
      <c r="C43" s="1" t="s">
        <v>41</v>
      </c>
      <c r="D43" s="1" t="s">
        <v>581</v>
      </c>
      <c r="E43" s="1">
        <v>74038</v>
      </c>
      <c r="F43" s="1" t="s">
        <v>585</v>
      </c>
      <c r="G43" s="2">
        <v>45809</v>
      </c>
      <c r="I43" s="3">
        <v>6</v>
      </c>
      <c r="J43" s="3">
        <v>1</v>
      </c>
      <c r="K43" s="4">
        <v>0.166666666666667</v>
      </c>
      <c r="L43" s="3">
        <v>0</v>
      </c>
      <c r="M43" s="3">
        <v>0</v>
      </c>
      <c r="N43" s="4">
        <v>0</v>
      </c>
      <c r="O43" s="3">
        <v>6</v>
      </c>
      <c r="P43" s="3">
        <v>1</v>
      </c>
      <c r="Q43" s="4">
        <v>0.166666666666667</v>
      </c>
      <c r="R43" s="3" t="str">
        <f t="shared" si="0"/>
        <v>C区</v>
      </c>
    </row>
    <row r="44" spans="1:18">
      <c r="A44" s="1" t="s">
        <v>544</v>
      </c>
      <c r="B44" s="1" t="s">
        <v>143</v>
      </c>
      <c r="C44" s="1" t="s">
        <v>41</v>
      </c>
      <c r="D44" s="1" t="s">
        <v>581</v>
      </c>
      <c r="E44" s="1">
        <v>62753</v>
      </c>
      <c r="F44" s="1" t="s">
        <v>586</v>
      </c>
      <c r="G44" s="2">
        <v>45566</v>
      </c>
      <c r="I44" s="3">
        <v>7</v>
      </c>
      <c r="J44" s="3">
        <v>0</v>
      </c>
      <c r="K44" s="4">
        <v>0</v>
      </c>
      <c r="L44" s="3">
        <v>2</v>
      </c>
      <c r="M44" s="3">
        <v>0</v>
      </c>
      <c r="N44" s="4">
        <v>0</v>
      </c>
      <c r="O44" s="3">
        <v>5</v>
      </c>
      <c r="P44" s="3">
        <v>0</v>
      </c>
      <c r="Q44" s="4">
        <v>0</v>
      </c>
      <c r="R44" s="3" t="str">
        <f t="shared" si="0"/>
        <v>C区</v>
      </c>
    </row>
    <row r="45" spans="1:18">
      <c r="A45" s="1" t="s">
        <v>544</v>
      </c>
      <c r="B45" s="1" t="s">
        <v>143</v>
      </c>
      <c r="C45" s="1" t="s">
        <v>41</v>
      </c>
      <c r="D45" s="1" t="s">
        <v>581</v>
      </c>
      <c r="E45" s="1">
        <v>58700</v>
      </c>
      <c r="F45" s="1" t="s">
        <v>587</v>
      </c>
      <c r="G45" s="2">
        <v>44635</v>
      </c>
      <c r="I45" s="3">
        <v>10</v>
      </c>
      <c r="J45" s="3">
        <v>6</v>
      </c>
      <c r="K45" s="4">
        <v>0.6</v>
      </c>
      <c r="L45" s="3">
        <v>3</v>
      </c>
      <c r="M45" s="3">
        <v>2</v>
      </c>
      <c r="N45" s="4">
        <v>0.2</v>
      </c>
      <c r="O45" s="3">
        <v>7</v>
      </c>
      <c r="P45" s="3">
        <v>4</v>
      </c>
      <c r="Q45" s="4">
        <v>0.4</v>
      </c>
      <c r="R45" s="3" t="str">
        <f t="shared" si="0"/>
        <v>C区</v>
      </c>
    </row>
    <row r="46" spans="1:18">
      <c r="A46" s="1" t="s">
        <v>544</v>
      </c>
      <c r="B46" s="1" t="s">
        <v>143</v>
      </c>
      <c r="C46" s="1" t="s">
        <v>41</v>
      </c>
      <c r="D46" s="1" t="s">
        <v>581</v>
      </c>
      <c r="E46" s="1">
        <v>50864</v>
      </c>
      <c r="F46" s="1" t="s">
        <v>588</v>
      </c>
      <c r="G46" s="2">
        <v>45566</v>
      </c>
      <c r="I46" s="3">
        <v>13</v>
      </c>
      <c r="J46" s="3">
        <v>5</v>
      </c>
      <c r="K46" s="4">
        <v>0.384615384615385</v>
      </c>
      <c r="L46" s="3">
        <v>11</v>
      </c>
      <c r="M46" s="3">
        <v>4</v>
      </c>
      <c r="N46" s="4">
        <v>0.307692307692308</v>
      </c>
      <c r="O46" s="3">
        <v>2</v>
      </c>
      <c r="P46" s="3">
        <v>1</v>
      </c>
      <c r="Q46" s="4">
        <v>0.0769230769230769</v>
      </c>
      <c r="R46" s="3" t="str">
        <f t="shared" si="0"/>
        <v>C区</v>
      </c>
    </row>
    <row r="47" spans="1:18">
      <c r="A47" s="1" t="s">
        <v>544</v>
      </c>
      <c r="B47" s="1" t="s">
        <v>143</v>
      </c>
      <c r="C47" s="1" t="s">
        <v>41</v>
      </c>
      <c r="D47" s="1" t="s">
        <v>581</v>
      </c>
      <c r="E47" s="1">
        <v>22762</v>
      </c>
      <c r="F47" s="1" t="s">
        <v>589</v>
      </c>
      <c r="G47" s="2">
        <v>44743</v>
      </c>
      <c r="I47" s="3">
        <v>8</v>
      </c>
      <c r="J47" s="3">
        <v>3</v>
      </c>
      <c r="K47" s="4">
        <v>0.375</v>
      </c>
      <c r="L47" s="3">
        <v>3</v>
      </c>
      <c r="M47" s="3">
        <v>1</v>
      </c>
      <c r="N47" s="4">
        <v>0.125</v>
      </c>
      <c r="O47" s="3">
        <v>5</v>
      </c>
      <c r="P47" s="3">
        <v>2</v>
      </c>
      <c r="Q47" s="4">
        <v>0.25</v>
      </c>
      <c r="R47" s="3" t="str">
        <f t="shared" si="0"/>
        <v>C区</v>
      </c>
    </row>
    <row r="48" spans="1:18">
      <c r="A48" s="1" t="s">
        <v>544</v>
      </c>
      <c r="B48" s="1" t="s">
        <v>143</v>
      </c>
      <c r="C48" s="1" t="s">
        <v>41</v>
      </c>
      <c r="D48" s="1" t="s">
        <v>581</v>
      </c>
      <c r="E48" s="1">
        <v>50710</v>
      </c>
      <c r="F48" s="1" t="s">
        <v>590</v>
      </c>
      <c r="G48" s="2">
        <v>45536</v>
      </c>
      <c r="I48" s="3">
        <v>8</v>
      </c>
      <c r="J48" s="3">
        <v>4</v>
      </c>
      <c r="K48" s="4">
        <v>0.5</v>
      </c>
      <c r="L48" s="3">
        <v>7</v>
      </c>
      <c r="M48" s="3">
        <v>3</v>
      </c>
      <c r="N48" s="4">
        <v>0.375</v>
      </c>
      <c r="O48" s="3">
        <v>1</v>
      </c>
      <c r="P48" s="3">
        <v>1</v>
      </c>
      <c r="Q48" s="4">
        <v>0.125</v>
      </c>
      <c r="R48" s="3" t="str">
        <f t="shared" si="0"/>
        <v>C区</v>
      </c>
    </row>
    <row r="49" spans="1:18">
      <c r="A49" s="1" t="s">
        <v>544</v>
      </c>
      <c r="B49" s="1" t="s">
        <v>143</v>
      </c>
      <c r="C49" s="1" t="s">
        <v>41</v>
      </c>
      <c r="D49" s="1" t="s">
        <v>581</v>
      </c>
      <c r="E49" s="1">
        <v>21731</v>
      </c>
      <c r="F49" s="1" t="s">
        <v>591</v>
      </c>
      <c r="G49" s="2">
        <v>45536</v>
      </c>
      <c r="I49" s="3">
        <v>4</v>
      </c>
      <c r="J49" s="3">
        <v>4</v>
      </c>
      <c r="K49" s="4">
        <v>1</v>
      </c>
      <c r="L49" s="3">
        <v>2</v>
      </c>
      <c r="M49" s="3">
        <v>2</v>
      </c>
      <c r="N49" s="4">
        <v>0.5</v>
      </c>
      <c r="O49" s="3">
        <v>2</v>
      </c>
      <c r="P49" s="3">
        <v>2</v>
      </c>
      <c r="Q49" s="4">
        <v>0.5</v>
      </c>
      <c r="R49" s="3" t="str">
        <f t="shared" si="0"/>
        <v>C区</v>
      </c>
    </row>
    <row r="50" spans="1:18">
      <c r="A50" s="1" t="s">
        <v>544</v>
      </c>
      <c r="B50" s="1" t="s">
        <v>143</v>
      </c>
      <c r="C50" s="1" t="s">
        <v>41</v>
      </c>
      <c r="D50" s="1" t="s">
        <v>581</v>
      </c>
      <c r="E50" s="1">
        <v>24857</v>
      </c>
      <c r="F50" s="1" t="s">
        <v>592</v>
      </c>
      <c r="G50" s="2">
        <v>45536</v>
      </c>
      <c r="I50" s="3">
        <v>6</v>
      </c>
      <c r="J50" s="3">
        <v>5</v>
      </c>
      <c r="K50" s="4">
        <v>0.833333333333333</v>
      </c>
      <c r="L50" s="3">
        <v>5</v>
      </c>
      <c r="M50" s="3">
        <v>4</v>
      </c>
      <c r="N50" s="4">
        <v>0.666666666666667</v>
      </c>
      <c r="O50" s="3">
        <v>1</v>
      </c>
      <c r="P50" s="3">
        <v>1</v>
      </c>
      <c r="Q50" s="4">
        <v>0.166666666666667</v>
      </c>
      <c r="R50" s="3" t="str">
        <f t="shared" si="0"/>
        <v>C区</v>
      </c>
    </row>
    <row r="51" spans="1:18">
      <c r="A51" s="1" t="s">
        <v>544</v>
      </c>
      <c r="B51" s="1" t="s">
        <v>143</v>
      </c>
      <c r="C51" s="1" t="s">
        <v>41</v>
      </c>
      <c r="D51" s="1" t="s">
        <v>581</v>
      </c>
      <c r="E51" s="1">
        <v>58711</v>
      </c>
      <c r="F51" s="1" t="s">
        <v>593</v>
      </c>
      <c r="G51" s="2">
        <v>44635</v>
      </c>
      <c r="I51" s="3">
        <v>12</v>
      </c>
      <c r="J51" s="3">
        <v>7</v>
      </c>
      <c r="K51" s="4">
        <v>0.583333333333333</v>
      </c>
      <c r="L51" s="3">
        <v>0</v>
      </c>
      <c r="M51" s="3">
        <v>0</v>
      </c>
      <c r="N51" s="4">
        <v>0</v>
      </c>
      <c r="O51" s="3">
        <v>12</v>
      </c>
      <c r="P51" s="3">
        <v>7</v>
      </c>
      <c r="Q51" s="4">
        <v>0.583333333333333</v>
      </c>
      <c r="R51" s="3" t="str">
        <f t="shared" si="0"/>
        <v>C区</v>
      </c>
    </row>
    <row r="52" spans="1:18">
      <c r="A52" s="1" t="s">
        <v>544</v>
      </c>
      <c r="B52" s="1" t="s">
        <v>143</v>
      </c>
      <c r="C52" s="1" t="s">
        <v>41</v>
      </c>
      <c r="D52" s="1" t="s">
        <v>581</v>
      </c>
      <c r="E52" s="1">
        <v>59576</v>
      </c>
      <c r="F52" s="1" t="s">
        <v>594</v>
      </c>
      <c r="G52" s="2">
        <v>44663</v>
      </c>
      <c r="I52" s="3">
        <v>6</v>
      </c>
      <c r="J52" s="3">
        <v>1</v>
      </c>
      <c r="K52" s="4">
        <v>0.166666666666667</v>
      </c>
      <c r="L52" s="3">
        <v>0</v>
      </c>
      <c r="M52" s="3">
        <v>0</v>
      </c>
      <c r="N52" s="4">
        <v>0</v>
      </c>
      <c r="O52" s="3">
        <v>6</v>
      </c>
      <c r="P52" s="3">
        <v>1</v>
      </c>
      <c r="Q52" s="4">
        <v>0.166666666666667</v>
      </c>
      <c r="R52" s="3" t="str">
        <f t="shared" si="0"/>
        <v>C区</v>
      </c>
    </row>
    <row r="53" spans="1:18">
      <c r="A53" s="1" t="s">
        <v>544</v>
      </c>
      <c r="B53" s="1" t="s">
        <v>44</v>
      </c>
      <c r="C53" s="1" t="s">
        <v>45</v>
      </c>
      <c r="D53" s="1" t="s">
        <v>46</v>
      </c>
      <c r="E53" s="1">
        <v>25819</v>
      </c>
      <c r="F53" s="1" t="s">
        <v>595</v>
      </c>
      <c r="G53" s="2">
        <v>44238</v>
      </c>
      <c r="I53" s="3">
        <v>22</v>
      </c>
      <c r="J53" s="3">
        <v>10</v>
      </c>
      <c r="K53" s="4">
        <v>0.454545454545455</v>
      </c>
      <c r="L53" s="3">
        <v>17</v>
      </c>
      <c r="M53" s="3">
        <v>7</v>
      </c>
      <c r="N53" s="4">
        <v>0.318181818181818</v>
      </c>
      <c r="O53" s="3">
        <v>5</v>
      </c>
      <c r="P53" s="3">
        <v>3</v>
      </c>
      <c r="Q53" s="4">
        <v>0.136363636363636</v>
      </c>
      <c r="R53" s="3" t="str">
        <f t="shared" si="0"/>
        <v>教学二区</v>
      </c>
    </row>
    <row r="54" spans="1:18">
      <c r="A54" s="1" t="s">
        <v>544</v>
      </c>
      <c r="B54" s="1" t="s">
        <v>44</v>
      </c>
      <c r="C54" s="1" t="s">
        <v>45</v>
      </c>
      <c r="D54" s="1" t="s">
        <v>46</v>
      </c>
      <c r="E54" s="1">
        <v>6520</v>
      </c>
      <c r="F54" s="1" t="s">
        <v>596</v>
      </c>
      <c r="G54" s="2">
        <v>43818</v>
      </c>
      <c r="I54" s="3">
        <v>21</v>
      </c>
      <c r="J54" s="3">
        <v>10</v>
      </c>
      <c r="K54" s="4">
        <v>0.476190476190476</v>
      </c>
      <c r="L54" s="3">
        <v>13</v>
      </c>
      <c r="M54" s="3">
        <v>5</v>
      </c>
      <c r="N54" s="4">
        <v>0.238095238095238</v>
      </c>
      <c r="O54" s="3">
        <v>8</v>
      </c>
      <c r="P54" s="3">
        <v>5</v>
      </c>
      <c r="Q54" s="4">
        <v>0.238095238095238</v>
      </c>
      <c r="R54" s="3" t="str">
        <f t="shared" si="0"/>
        <v>教学二区</v>
      </c>
    </row>
    <row r="55" spans="1:18">
      <c r="A55" s="1" t="s">
        <v>544</v>
      </c>
      <c r="B55" s="1" t="s">
        <v>44</v>
      </c>
      <c r="C55" s="1" t="s">
        <v>45</v>
      </c>
      <c r="D55" s="1" t="s">
        <v>46</v>
      </c>
      <c r="E55" s="1">
        <v>1317</v>
      </c>
      <c r="F55" s="1" t="s">
        <v>597</v>
      </c>
      <c r="G55" s="2">
        <v>44981</v>
      </c>
      <c r="I55" s="3">
        <v>9</v>
      </c>
      <c r="J55" s="3">
        <v>5</v>
      </c>
      <c r="K55" s="4">
        <v>0.555555555555556</v>
      </c>
      <c r="L55" s="3">
        <v>0</v>
      </c>
      <c r="M55" s="3">
        <v>0</v>
      </c>
      <c r="N55" s="4">
        <v>0</v>
      </c>
      <c r="O55" s="3">
        <v>9</v>
      </c>
      <c r="P55" s="3">
        <v>5</v>
      </c>
      <c r="Q55" s="4">
        <v>0.555555555555556</v>
      </c>
      <c r="R55" s="3" t="str">
        <f t="shared" si="0"/>
        <v>教学二区</v>
      </c>
    </row>
    <row r="56" spans="1:18">
      <c r="A56" s="1" t="s">
        <v>544</v>
      </c>
      <c r="B56" s="1" t="s">
        <v>44</v>
      </c>
      <c r="C56" s="1" t="s">
        <v>45</v>
      </c>
      <c r="D56" s="1" t="s">
        <v>46</v>
      </c>
      <c r="E56" s="1">
        <v>6482</v>
      </c>
      <c r="F56" s="1" t="s">
        <v>598</v>
      </c>
      <c r="G56" s="2">
        <v>44491</v>
      </c>
      <c r="I56" s="3">
        <v>9</v>
      </c>
      <c r="J56" s="3">
        <v>6</v>
      </c>
      <c r="K56" s="4">
        <v>0.666666666666667</v>
      </c>
      <c r="L56" s="3">
        <v>6</v>
      </c>
      <c r="M56" s="3">
        <v>3</v>
      </c>
      <c r="N56" s="4">
        <v>0.333333333333333</v>
      </c>
      <c r="O56" s="3">
        <v>3</v>
      </c>
      <c r="P56" s="3">
        <v>3</v>
      </c>
      <c r="Q56" s="4">
        <v>0.333333333333333</v>
      </c>
      <c r="R56" s="3" t="str">
        <f t="shared" si="0"/>
        <v>教学二区</v>
      </c>
    </row>
    <row r="57" spans="1:18">
      <c r="A57" s="1" t="s">
        <v>544</v>
      </c>
      <c r="B57" s="1" t="s">
        <v>44</v>
      </c>
      <c r="C57" s="1" t="s">
        <v>45</v>
      </c>
      <c r="D57" s="1" t="s">
        <v>46</v>
      </c>
      <c r="E57" s="1">
        <v>53081</v>
      </c>
      <c r="F57" s="1" t="s">
        <v>599</v>
      </c>
      <c r="G57" s="2">
        <v>44491</v>
      </c>
      <c r="I57" s="3">
        <v>22</v>
      </c>
      <c r="J57" s="3">
        <v>11</v>
      </c>
      <c r="K57" s="4">
        <v>0.5</v>
      </c>
      <c r="L57" s="3">
        <v>16</v>
      </c>
      <c r="M57" s="3">
        <v>8</v>
      </c>
      <c r="N57" s="4">
        <v>0.363636363636364</v>
      </c>
      <c r="O57" s="3">
        <v>6</v>
      </c>
      <c r="P57" s="3">
        <v>3</v>
      </c>
      <c r="Q57" s="4">
        <v>0.136363636363636</v>
      </c>
      <c r="R57" s="3" t="str">
        <f t="shared" si="0"/>
        <v>教学二区</v>
      </c>
    </row>
    <row r="58" spans="1:18">
      <c r="A58" s="1" t="s">
        <v>544</v>
      </c>
      <c r="B58" s="1" t="s">
        <v>44</v>
      </c>
      <c r="C58" s="1" t="s">
        <v>45</v>
      </c>
      <c r="D58" s="1" t="s">
        <v>46</v>
      </c>
      <c r="E58" s="1">
        <v>13113</v>
      </c>
      <c r="F58" s="1" t="s">
        <v>600</v>
      </c>
      <c r="G58" s="2">
        <v>43910</v>
      </c>
      <c r="I58" s="3">
        <v>2</v>
      </c>
      <c r="J58" s="3">
        <v>2</v>
      </c>
      <c r="K58" s="4">
        <v>1</v>
      </c>
      <c r="L58" s="3">
        <v>1</v>
      </c>
      <c r="M58" s="3">
        <v>1</v>
      </c>
      <c r="N58" s="4">
        <v>0.5</v>
      </c>
      <c r="O58" s="3">
        <v>1</v>
      </c>
      <c r="P58" s="3">
        <v>1</v>
      </c>
      <c r="Q58" s="4">
        <v>0.5</v>
      </c>
      <c r="R58" s="3" t="str">
        <f t="shared" si="0"/>
        <v>教学二区</v>
      </c>
    </row>
    <row r="59" spans="1:18">
      <c r="A59" s="1" t="s">
        <v>544</v>
      </c>
      <c r="B59" s="1" t="s">
        <v>44</v>
      </c>
      <c r="C59" s="1" t="s">
        <v>45</v>
      </c>
      <c r="D59" s="1" t="s">
        <v>46</v>
      </c>
      <c r="E59" s="1">
        <v>62362</v>
      </c>
      <c r="F59" s="1" t="s">
        <v>47</v>
      </c>
      <c r="G59" s="2">
        <v>44912</v>
      </c>
      <c r="I59" s="3">
        <v>18</v>
      </c>
      <c r="J59" s="3">
        <v>15</v>
      </c>
      <c r="K59" s="4">
        <v>0.833333333333333</v>
      </c>
      <c r="L59" s="3">
        <v>7</v>
      </c>
      <c r="M59" s="3">
        <v>5</v>
      </c>
      <c r="N59" s="4">
        <v>0.277777777777778</v>
      </c>
      <c r="O59" s="3">
        <v>11</v>
      </c>
      <c r="P59" s="3">
        <v>10</v>
      </c>
      <c r="Q59" s="4">
        <v>0.555555555555556</v>
      </c>
      <c r="R59" s="3" t="str">
        <f t="shared" si="0"/>
        <v>教学二区</v>
      </c>
    </row>
    <row r="60" spans="1:18">
      <c r="A60" s="1" t="s">
        <v>544</v>
      </c>
      <c r="B60" s="1" t="s">
        <v>44</v>
      </c>
      <c r="C60" s="1" t="s">
        <v>45</v>
      </c>
      <c r="D60" s="1" t="s">
        <v>46</v>
      </c>
      <c r="E60" s="1">
        <v>61732</v>
      </c>
      <c r="F60" s="1" t="s">
        <v>601</v>
      </c>
      <c r="G60" s="2">
        <v>44834</v>
      </c>
      <c r="I60" s="3">
        <v>8</v>
      </c>
      <c r="J60" s="3">
        <v>3</v>
      </c>
      <c r="K60" s="4">
        <v>0.375</v>
      </c>
      <c r="L60" s="3">
        <v>0</v>
      </c>
      <c r="M60" s="3">
        <v>0</v>
      </c>
      <c r="N60" s="4">
        <v>0</v>
      </c>
      <c r="O60" s="3">
        <v>8</v>
      </c>
      <c r="P60" s="3">
        <v>3</v>
      </c>
      <c r="Q60" s="4">
        <v>0.375</v>
      </c>
      <c r="R60" s="3" t="str">
        <f t="shared" si="0"/>
        <v>教学二区</v>
      </c>
    </row>
    <row r="61" spans="1:18">
      <c r="A61" s="1" t="s">
        <v>544</v>
      </c>
      <c r="B61" s="1" t="s">
        <v>44</v>
      </c>
      <c r="C61" s="1" t="s">
        <v>45</v>
      </c>
      <c r="D61" s="1" t="s">
        <v>46</v>
      </c>
      <c r="E61" s="1">
        <v>21748</v>
      </c>
      <c r="F61" s="1" t="s">
        <v>602</v>
      </c>
      <c r="G61" s="2">
        <v>44034</v>
      </c>
      <c r="I61" s="3">
        <v>10</v>
      </c>
      <c r="J61" s="3">
        <v>5</v>
      </c>
      <c r="K61" s="4">
        <v>0.5</v>
      </c>
      <c r="L61" s="3">
        <v>4</v>
      </c>
      <c r="M61" s="3">
        <v>2</v>
      </c>
      <c r="N61" s="4">
        <v>0.2</v>
      </c>
      <c r="O61" s="3">
        <v>6</v>
      </c>
      <c r="P61" s="3">
        <v>3</v>
      </c>
      <c r="Q61" s="4">
        <v>0.3</v>
      </c>
      <c r="R61" s="3" t="str">
        <f t="shared" si="0"/>
        <v>教学二区</v>
      </c>
    </row>
    <row r="62" spans="1:18">
      <c r="A62" s="1" t="s">
        <v>544</v>
      </c>
      <c r="B62" s="1" t="s">
        <v>44</v>
      </c>
      <c r="C62" s="1" t="s">
        <v>45</v>
      </c>
      <c r="D62" s="1" t="s">
        <v>46</v>
      </c>
      <c r="E62" s="1">
        <v>24669</v>
      </c>
      <c r="F62" s="1" t="s">
        <v>603</v>
      </c>
      <c r="G62" s="2">
        <v>44174</v>
      </c>
      <c r="I62" s="3">
        <v>23</v>
      </c>
      <c r="J62" s="3">
        <v>6</v>
      </c>
      <c r="K62" s="4">
        <v>0.260869565217391</v>
      </c>
      <c r="L62" s="3">
        <v>16</v>
      </c>
      <c r="M62" s="3">
        <v>5</v>
      </c>
      <c r="N62" s="4">
        <v>0.217391304347826</v>
      </c>
      <c r="O62" s="3">
        <v>7</v>
      </c>
      <c r="P62" s="3">
        <v>1</v>
      </c>
      <c r="Q62" s="4">
        <v>0.0434782608695652</v>
      </c>
      <c r="R62" s="3" t="str">
        <f t="shared" si="0"/>
        <v>教学二区</v>
      </c>
    </row>
    <row r="63" spans="1:18">
      <c r="A63" s="1" t="s">
        <v>544</v>
      </c>
      <c r="B63" s="1" t="s">
        <v>44</v>
      </c>
      <c r="C63" s="1" t="s">
        <v>45</v>
      </c>
      <c r="D63" s="1" t="s">
        <v>46</v>
      </c>
      <c r="E63" s="1">
        <v>53679</v>
      </c>
      <c r="F63" s="1" t="s">
        <v>604</v>
      </c>
      <c r="G63" s="2">
        <v>44525</v>
      </c>
      <c r="I63" s="3">
        <v>20</v>
      </c>
      <c r="J63" s="3">
        <v>12</v>
      </c>
      <c r="K63" s="4">
        <v>0.6</v>
      </c>
      <c r="L63" s="3">
        <v>12</v>
      </c>
      <c r="M63" s="3">
        <v>9</v>
      </c>
      <c r="N63" s="4">
        <v>0.45</v>
      </c>
      <c r="O63" s="3">
        <v>8</v>
      </c>
      <c r="P63" s="3">
        <v>3</v>
      </c>
      <c r="Q63" s="4">
        <v>0.15</v>
      </c>
      <c r="R63" s="3" t="str">
        <f t="shared" si="0"/>
        <v>教学二区</v>
      </c>
    </row>
    <row r="64" spans="1:18">
      <c r="A64" s="1" t="s">
        <v>544</v>
      </c>
      <c r="B64" s="1" t="s">
        <v>44</v>
      </c>
      <c r="C64" s="1" t="s">
        <v>45</v>
      </c>
      <c r="D64" s="1" t="s">
        <v>46</v>
      </c>
      <c r="E64" s="1">
        <v>53686</v>
      </c>
      <c r="F64" s="1" t="s">
        <v>605</v>
      </c>
      <c r="G64" s="2">
        <v>44525</v>
      </c>
      <c r="I64" s="3">
        <v>21</v>
      </c>
      <c r="J64" s="3">
        <v>13</v>
      </c>
      <c r="K64" s="4">
        <v>0.619047619047619</v>
      </c>
      <c r="L64" s="3">
        <v>17</v>
      </c>
      <c r="M64" s="3">
        <v>11</v>
      </c>
      <c r="N64" s="4">
        <v>0.523809523809524</v>
      </c>
      <c r="O64" s="3">
        <v>4</v>
      </c>
      <c r="P64" s="3">
        <v>2</v>
      </c>
      <c r="Q64" s="4">
        <v>0.0952380952380952</v>
      </c>
      <c r="R64" s="3" t="str">
        <f t="shared" si="0"/>
        <v>教学二区</v>
      </c>
    </row>
    <row r="65" spans="1:18">
      <c r="A65" s="1" t="s">
        <v>544</v>
      </c>
      <c r="B65" s="1" t="s">
        <v>44</v>
      </c>
      <c r="C65" s="1" t="s">
        <v>45</v>
      </c>
      <c r="D65" s="1" t="s">
        <v>46</v>
      </c>
      <c r="E65" s="1">
        <v>50277</v>
      </c>
      <c r="F65" s="1" t="s">
        <v>118</v>
      </c>
      <c r="G65" s="2">
        <v>44301</v>
      </c>
      <c r="I65" s="3">
        <v>15</v>
      </c>
      <c r="J65" s="3">
        <v>10</v>
      </c>
      <c r="K65" s="4">
        <v>0.666666666666667</v>
      </c>
      <c r="L65" s="3">
        <v>10</v>
      </c>
      <c r="M65" s="3">
        <v>7</v>
      </c>
      <c r="N65" s="4">
        <v>0.466666666666667</v>
      </c>
      <c r="O65" s="3">
        <v>5</v>
      </c>
      <c r="P65" s="3">
        <v>3</v>
      </c>
      <c r="Q65" s="4">
        <v>0.2</v>
      </c>
      <c r="R65" s="3" t="str">
        <f t="shared" si="0"/>
        <v>教学二区</v>
      </c>
    </row>
    <row r="66" spans="1:18">
      <c r="A66" s="1" t="s">
        <v>544</v>
      </c>
      <c r="B66" s="1" t="s">
        <v>44</v>
      </c>
      <c r="C66" s="1" t="s">
        <v>45</v>
      </c>
      <c r="D66" s="1" t="s">
        <v>46</v>
      </c>
      <c r="E66" s="1">
        <v>20352</v>
      </c>
      <c r="F66" s="1" t="s">
        <v>606</v>
      </c>
      <c r="G66" s="2">
        <v>43939</v>
      </c>
      <c r="I66" s="3">
        <v>15</v>
      </c>
      <c r="J66" s="3">
        <v>8</v>
      </c>
      <c r="K66" s="4">
        <v>0.533333333333333</v>
      </c>
      <c r="L66" s="3">
        <v>7</v>
      </c>
      <c r="M66" s="3">
        <v>3</v>
      </c>
      <c r="N66" s="4">
        <v>0.2</v>
      </c>
      <c r="O66" s="3">
        <v>8</v>
      </c>
      <c r="P66" s="3">
        <v>5</v>
      </c>
      <c r="Q66" s="4">
        <v>0.333333333333333</v>
      </c>
      <c r="R66" s="3" t="str">
        <f t="shared" si="0"/>
        <v>教学二区</v>
      </c>
    </row>
    <row r="67" spans="1:18">
      <c r="A67" s="1" t="s">
        <v>544</v>
      </c>
      <c r="B67" s="1" t="s">
        <v>44</v>
      </c>
      <c r="C67" s="1" t="s">
        <v>45</v>
      </c>
      <c r="D67" s="1" t="s">
        <v>46</v>
      </c>
      <c r="E67" s="1">
        <v>50879</v>
      </c>
      <c r="F67" s="1" t="s">
        <v>113</v>
      </c>
      <c r="G67" s="2">
        <v>44322</v>
      </c>
      <c r="I67" s="3">
        <v>10</v>
      </c>
      <c r="J67" s="3">
        <v>2</v>
      </c>
      <c r="K67" s="4">
        <v>0.2</v>
      </c>
      <c r="L67" s="3">
        <v>8</v>
      </c>
      <c r="M67" s="3">
        <v>2</v>
      </c>
      <c r="N67" s="4">
        <v>0.2</v>
      </c>
      <c r="O67" s="3">
        <v>2</v>
      </c>
      <c r="P67" s="3">
        <v>0</v>
      </c>
      <c r="Q67" s="4">
        <v>0</v>
      </c>
      <c r="R67" s="3" t="str">
        <f t="shared" ref="R67:R130" si="1">B67</f>
        <v>教学二区</v>
      </c>
    </row>
    <row r="68" spans="1:18">
      <c r="A68" s="1" t="s">
        <v>544</v>
      </c>
      <c r="B68" s="1" t="s">
        <v>44</v>
      </c>
      <c r="C68" s="1" t="s">
        <v>45</v>
      </c>
      <c r="D68" s="1" t="s">
        <v>46</v>
      </c>
      <c r="E68" s="1">
        <v>53088</v>
      </c>
      <c r="F68" s="1" t="s">
        <v>607</v>
      </c>
      <c r="G68" s="2">
        <v>44491</v>
      </c>
      <c r="I68" s="3">
        <v>21</v>
      </c>
      <c r="J68" s="3">
        <v>10</v>
      </c>
      <c r="K68" s="4">
        <v>0.476190476190476</v>
      </c>
      <c r="L68" s="3">
        <v>15</v>
      </c>
      <c r="M68" s="3">
        <v>7</v>
      </c>
      <c r="N68" s="4">
        <v>0.333333333333333</v>
      </c>
      <c r="O68" s="3">
        <v>6</v>
      </c>
      <c r="P68" s="3">
        <v>3</v>
      </c>
      <c r="Q68" s="4">
        <v>0.142857142857143</v>
      </c>
      <c r="R68" s="3" t="str">
        <f t="shared" si="1"/>
        <v>教学二区</v>
      </c>
    </row>
    <row r="69" spans="1:18">
      <c r="A69" s="1" t="s">
        <v>544</v>
      </c>
      <c r="B69" s="1" t="s">
        <v>44</v>
      </c>
      <c r="C69" s="1" t="s">
        <v>45</v>
      </c>
      <c r="D69" s="1" t="s">
        <v>46</v>
      </c>
      <c r="E69" s="1">
        <v>26349</v>
      </c>
      <c r="F69" s="1" t="s">
        <v>119</v>
      </c>
      <c r="G69" s="2">
        <v>44287</v>
      </c>
      <c r="I69" s="3">
        <v>15</v>
      </c>
      <c r="J69" s="3">
        <v>5</v>
      </c>
      <c r="K69" s="4">
        <v>0.333333333333333</v>
      </c>
      <c r="L69" s="3">
        <v>9</v>
      </c>
      <c r="M69" s="3">
        <v>5</v>
      </c>
      <c r="N69" s="4">
        <v>0.333333333333333</v>
      </c>
      <c r="O69" s="3">
        <v>6</v>
      </c>
      <c r="P69" s="3">
        <v>0</v>
      </c>
      <c r="Q69" s="4">
        <v>0</v>
      </c>
      <c r="R69" s="3" t="str">
        <f t="shared" si="1"/>
        <v>教学二区</v>
      </c>
    </row>
    <row r="70" spans="1:18">
      <c r="A70" s="1" t="s">
        <v>544</v>
      </c>
      <c r="B70" s="1" t="s">
        <v>44</v>
      </c>
      <c r="C70" s="1" t="s">
        <v>45</v>
      </c>
      <c r="D70" s="1" t="s">
        <v>46</v>
      </c>
      <c r="E70" s="1">
        <v>21849</v>
      </c>
      <c r="F70" s="1" t="s">
        <v>608</v>
      </c>
      <c r="G70" s="2">
        <v>44044</v>
      </c>
      <c r="I70" s="3">
        <v>14</v>
      </c>
      <c r="J70" s="3">
        <v>5</v>
      </c>
      <c r="K70" s="4">
        <v>0.357142857142857</v>
      </c>
      <c r="L70" s="3">
        <v>11</v>
      </c>
      <c r="M70" s="3">
        <v>3</v>
      </c>
      <c r="N70" s="4">
        <v>0.214285714285714</v>
      </c>
      <c r="O70" s="3">
        <v>3</v>
      </c>
      <c r="P70" s="3">
        <v>2</v>
      </c>
      <c r="Q70" s="4">
        <v>0.142857142857143</v>
      </c>
      <c r="R70" s="3" t="str">
        <f t="shared" si="1"/>
        <v>教学二区</v>
      </c>
    </row>
    <row r="71" spans="1:18">
      <c r="A71" s="1" t="s">
        <v>544</v>
      </c>
      <c r="B71" s="1" t="s">
        <v>44</v>
      </c>
      <c r="C71" s="1" t="s">
        <v>45</v>
      </c>
      <c r="D71" s="1" t="s">
        <v>102</v>
      </c>
      <c r="E71" s="1">
        <v>25101</v>
      </c>
      <c r="F71" s="1" t="s">
        <v>270</v>
      </c>
      <c r="G71" s="2">
        <v>44195</v>
      </c>
      <c r="I71" s="3">
        <v>17</v>
      </c>
      <c r="J71" s="3">
        <v>7</v>
      </c>
      <c r="K71" s="4">
        <v>0.411764705882353</v>
      </c>
      <c r="L71" s="3">
        <v>11</v>
      </c>
      <c r="M71" s="3">
        <v>3</v>
      </c>
      <c r="N71" s="4">
        <v>0.176470588235294</v>
      </c>
      <c r="O71" s="3">
        <v>6</v>
      </c>
      <c r="P71" s="3">
        <v>4</v>
      </c>
      <c r="Q71" s="4">
        <v>0.235294117647059</v>
      </c>
      <c r="R71" s="3" t="str">
        <f t="shared" si="1"/>
        <v>教学二区</v>
      </c>
    </row>
    <row r="72" spans="1:18">
      <c r="A72" s="1" t="s">
        <v>544</v>
      </c>
      <c r="B72" s="1" t="s">
        <v>44</v>
      </c>
      <c r="C72" s="1" t="s">
        <v>45</v>
      </c>
      <c r="D72" s="1" t="s">
        <v>102</v>
      </c>
      <c r="E72" s="1">
        <v>21193</v>
      </c>
      <c r="F72" s="1" t="s">
        <v>609</v>
      </c>
      <c r="G72" s="2">
        <v>43995</v>
      </c>
      <c r="I72" s="3">
        <v>25</v>
      </c>
      <c r="J72" s="3">
        <v>7</v>
      </c>
      <c r="K72" s="4">
        <v>0.28</v>
      </c>
      <c r="L72" s="3">
        <v>22</v>
      </c>
      <c r="M72" s="3">
        <v>5</v>
      </c>
      <c r="N72" s="4">
        <v>0.2</v>
      </c>
      <c r="O72" s="3">
        <v>3</v>
      </c>
      <c r="P72" s="3">
        <v>2</v>
      </c>
      <c r="Q72" s="4">
        <v>0.08</v>
      </c>
      <c r="R72" s="3" t="str">
        <f t="shared" si="1"/>
        <v>教学二区</v>
      </c>
    </row>
    <row r="73" spans="1:18">
      <c r="A73" s="1" t="s">
        <v>544</v>
      </c>
      <c r="B73" s="1" t="s">
        <v>44</v>
      </c>
      <c r="C73" s="1" t="s">
        <v>45</v>
      </c>
      <c r="D73" s="1" t="s">
        <v>102</v>
      </c>
      <c r="E73" s="1">
        <v>4683</v>
      </c>
      <c r="F73" s="1" t="s">
        <v>512</v>
      </c>
      <c r="G73" s="2">
        <v>43719</v>
      </c>
      <c r="I73" s="3">
        <v>9</v>
      </c>
      <c r="J73" s="3">
        <v>8</v>
      </c>
      <c r="K73" s="4">
        <v>0.888888888888889</v>
      </c>
      <c r="L73" s="3">
        <v>6</v>
      </c>
      <c r="M73" s="3">
        <v>5</v>
      </c>
      <c r="N73" s="4">
        <v>0.555555555555556</v>
      </c>
      <c r="O73" s="3">
        <v>3</v>
      </c>
      <c r="P73" s="3">
        <v>3</v>
      </c>
      <c r="Q73" s="4">
        <v>0.333333333333333</v>
      </c>
      <c r="R73" s="3" t="str">
        <f t="shared" si="1"/>
        <v>教学二区</v>
      </c>
    </row>
    <row r="74" spans="1:18">
      <c r="A74" s="1" t="s">
        <v>544</v>
      </c>
      <c r="B74" s="1" t="s">
        <v>44</v>
      </c>
      <c r="C74" s="1" t="s">
        <v>45</v>
      </c>
      <c r="D74" s="1" t="s">
        <v>102</v>
      </c>
      <c r="E74" s="1">
        <v>22137</v>
      </c>
      <c r="F74" s="1" t="s">
        <v>610</v>
      </c>
      <c r="G74" s="2">
        <v>44058</v>
      </c>
      <c r="I74" s="3">
        <v>17</v>
      </c>
      <c r="J74" s="3">
        <v>6</v>
      </c>
      <c r="K74" s="4">
        <v>0.352941176470588</v>
      </c>
      <c r="L74" s="3">
        <v>14</v>
      </c>
      <c r="M74" s="3">
        <v>4</v>
      </c>
      <c r="N74" s="4">
        <v>0.235294117647059</v>
      </c>
      <c r="O74" s="3">
        <v>3</v>
      </c>
      <c r="P74" s="3">
        <v>2</v>
      </c>
      <c r="Q74" s="4">
        <v>0.117647058823529</v>
      </c>
      <c r="R74" s="3" t="str">
        <f t="shared" si="1"/>
        <v>教学二区</v>
      </c>
    </row>
    <row r="75" spans="1:18">
      <c r="A75" s="1" t="s">
        <v>544</v>
      </c>
      <c r="B75" s="1" t="s">
        <v>44</v>
      </c>
      <c r="C75" s="1" t="s">
        <v>45</v>
      </c>
      <c r="D75" s="1" t="s">
        <v>102</v>
      </c>
      <c r="E75" s="1">
        <v>4650</v>
      </c>
      <c r="F75" s="1" t="s">
        <v>611</v>
      </c>
      <c r="G75" s="2">
        <v>43715</v>
      </c>
      <c r="I75" s="3">
        <v>19</v>
      </c>
      <c r="J75" s="3">
        <v>6</v>
      </c>
      <c r="K75" s="4">
        <v>0.315789473684211</v>
      </c>
      <c r="L75" s="3">
        <v>10</v>
      </c>
      <c r="M75" s="3">
        <v>3</v>
      </c>
      <c r="N75" s="4">
        <v>0.157894736842105</v>
      </c>
      <c r="O75" s="3">
        <v>9</v>
      </c>
      <c r="P75" s="3">
        <v>3</v>
      </c>
      <c r="Q75" s="4">
        <v>0.157894736842105</v>
      </c>
      <c r="R75" s="3" t="str">
        <f t="shared" si="1"/>
        <v>教学二区</v>
      </c>
    </row>
    <row r="76" spans="1:18">
      <c r="A76" s="1" t="s">
        <v>544</v>
      </c>
      <c r="B76" s="1" t="s">
        <v>44</v>
      </c>
      <c r="C76" s="1" t="s">
        <v>45</v>
      </c>
      <c r="D76" s="1" t="s">
        <v>102</v>
      </c>
      <c r="E76" s="1">
        <v>6518</v>
      </c>
      <c r="F76" s="1" t="s">
        <v>612</v>
      </c>
      <c r="G76" s="2">
        <v>43813</v>
      </c>
      <c r="I76" s="3">
        <v>14</v>
      </c>
      <c r="J76" s="3">
        <v>2</v>
      </c>
      <c r="K76" s="4">
        <v>0.142857142857143</v>
      </c>
      <c r="L76" s="3">
        <v>9</v>
      </c>
      <c r="M76" s="3">
        <v>1</v>
      </c>
      <c r="N76" s="4">
        <v>0.0714285714285714</v>
      </c>
      <c r="O76" s="3">
        <v>5</v>
      </c>
      <c r="P76" s="3">
        <v>1</v>
      </c>
      <c r="Q76" s="4">
        <v>0.0714285714285714</v>
      </c>
      <c r="R76" s="3" t="str">
        <f t="shared" si="1"/>
        <v>教学二区</v>
      </c>
    </row>
    <row r="77" spans="1:18">
      <c r="A77" s="1" t="s">
        <v>544</v>
      </c>
      <c r="B77" s="1" t="s">
        <v>44</v>
      </c>
      <c r="C77" s="1" t="s">
        <v>45</v>
      </c>
      <c r="D77" s="1" t="s">
        <v>102</v>
      </c>
      <c r="E77" s="1">
        <v>22503</v>
      </c>
      <c r="F77" s="1" t="s">
        <v>613</v>
      </c>
      <c r="G77" s="2">
        <v>44086</v>
      </c>
      <c r="I77" s="3">
        <v>8</v>
      </c>
      <c r="J77" s="3">
        <v>1</v>
      </c>
      <c r="K77" s="4">
        <v>0.125</v>
      </c>
      <c r="L77" s="3">
        <v>6</v>
      </c>
      <c r="M77" s="3">
        <v>1</v>
      </c>
      <c r="N77" s="4">
        <v>0.125</v>
      </c>
      <c r="O77" s="3">
        <v>2</v>
      </c>
      <c r="P77" s="3">
        <v>0</v>
      </c>
      <c r="Q77" s="4">
        <v>0</v>
      </c>
      <c r="R77" s="3" t="str">
        <f t="shared" si="1"/>
        <v>教学二区</v>
      </c>
    </row>
    <row r="78" spans="1:18">
      <c r="A78" s="1" t="s">
        <v>544</v>
      </c>
      <c r="B78" s="1" t="s">
        <v>44</v>
      </c>
      <c r="C78" s="1" t="s">
        <v>45</v>
      </c>
      <c r="D78" s="1" t="s">
        <v>102</v>
      </c>
      <c r="E78" s="1">
        <v>21738</v>
      </c>
      <c r="F78" s="1" t="s">
        <v>614</v>
      </c>
      <c r="G78" s="2">
        <v>44034</v>
      </c>
      <c r="I78" s="3">
        <v>13</v>
      </c>
      <c r="J78" s="3">
        <v>8</v>
      </c>
      <c r="K78" s="4">
        <v>0.615384615384615</v>
      </c>
      <c r="L78" s="3">
        <v>12</v>
      </c>
      <c r="M78" s="3">
        <v>7</v>
      </c>
      <c r="N78" s="4">
        <v>0.538461538461538</v>
      </c>
      <c r="O78" s="3">
        <v>1</v>
      </c>
      <c r="P78" s="3">
        <v>1</v>
      </c>
      <c r="Q78" s="4">
        <v>0.0769230769230769</v>
      </c>
      <c r="R78" s="3" t="str">
        <f t="shared" si="1"/>
        <v>教学二区</v>
      </c>
    </row>
    <row r="79" spans="1:18">
      <c r="A79" s="1" t="s">
        <v>544</v>
      </c>
      <c r="B79" s="1" t="s">
        <v>44</v>
      </c>
      <c r="C79" s="1" t="s">
        <v>45</v>
      </c>
      <c r="D79" s="1" t="s">
        <v>102</v>
      </c>
      <c r="E79" s="1">
        <v>5144</v>
      </c>
      <c r="F79" s="1" t="s">
        <v>615</v>
      </c>
      <c r="G79" s="2">
        <v>43755</v>
      </c>
      <c r="I79" s="3">
        <v>18</v>
      </c>
      <c r="J79" s="3">
        <v>8</v>
      </c>
      <c r="K79" s="4">
        <v>0.444444444444444</v>
      </c>
      <c r="L79" s="3">
        <v>14</v>
      </c>
      <c r="M79" s="3">
        <v>7</v>
      </c>
      <c r="N79" s="4">
        <v>0.388888888888889</v>
      </c>
      <c r="O79" s="3">
        <v>4</v>
      </c>
      <c r="P79" s="3">
        <v>1</v>
      </c>
      <c r="Q79" s="4">
        <v>0.0555555555555556</v>
      </c>
      <c r="R79" s="3" t="str">
        <f t="shared" si="1"/>
        <v>教学二区</v>
      </c>
    </row>
    <row r="80" spans="1:18">
      <c r="A80" s="1" t="s">
        <v>544</v>
      </c>
      <c r="B80" s="1" t="s">
        <v>44</v>
      </c>
      <c r="C80" s="1" t="s">
        <v>45</v>
      </c>
      <c r="D80" s="1" t="s">
        <v>102</v>
      </c>
      <c r="E80" s="1">
        <v>23204</v>
      </c>
      <c r="F80" s="1" t="s">
        <v>616</v>
      </c>
      <c r="G80" s="2">
        <v>44120</v>
      </c>
      <c r="I80" s="3">
        <v>18</v>
      </c>
      <c r="J80" s="3">
        <v>8</v>
      </c>
      <c r="K80" s="4">
        <v>0.444444444444444</v>
      </c>
      <c r="L80" s="3">
        <v>11</v>
      </c>
      <c r="M80" s="3">
        <v>5</v>
      </c>
      <c r="N80" s="4">
        <v>0.277777777777778</v>
      </c>
      <c r="O80" s="3">
        <v>7</v>
      </c>
      <c r="P80" s="3">
        <v>3</v>
      </c>
      <c r="Q80" s="4">
        <v>0.166666666666667</v>
      </c>
      <c r="R80" s="3" t="str">
        <f t="shared" si="1"/>
        <v>教学二区</v>
      </c>
    </row>
    <row r="81" spans="1:18">
      <c r="A81" s="1" t="s">
        <v>544</v>
      </c>
      <c r="B81" s="1" t="s">
        <v>44</v>
      </c>
      <c r="C81" s="1" t="s">
        <v>45</v>
      </c>
      <c r="D81" s="1" t="s">
        <v>102</v>
      </c>
      <c r="E81" s="1">
        <v>4921</v>
      </c>
      <c r="F81" s="1" t="s">
        <v>617</v>
      </c>
      <c r="G81" s="2">
        <v>43738</v>
      </c>
      <c r="I81" s="3">
        <v>19</v>
      </c>
      <c r="J81" s="3">
        <v>7</v>
      </c>
      <c r="K81" s="4">
        <v>0.368421052631579</v>
      </c>
      <c r="L81" s="3">
        <v>16</v>
      </c>
      <c r="M81" s="3">
        <v>5</v>
      </c>
      <c r="N81" s="4">
        <v>0.263157894736842</v>
      </c>
      <c r="O81" s="3">
        <v>3</v>
      </c>
      <c r="P81" s="3">
        <v>2</v>
      </c>
      <c r="Q81" s="4">
        <v>0.105263157894737</v>
      </c>
      <c r="R81" s="3" t="str">
        <f t="shared" si="1"/>
        <v>教学二区</v>
      </c>
    </row>
    <row r="82" spans="1:18">
      <c r="A82" s="1" t="s">
        <v>544</v>
      </c>
      <c r="B82" s="1" t="s">
        <v>44</v>
      </c>
      <c r="C82" s="1" t="s">
        <v>45</v>
      </c>
      <c r="D82" s="1" t="s">
        <v>102</v>
      </c>
      <c r="E82" s="1">
        <v>20945</v>
      </c>
      <c r="F82" s="1" t="s">
        <v>103</v>
      </c>
      <c r="G82" s="2">
        <v>43973</v>
      </c>
      <c r="I82" s="3">
        <v>2</v>
      </c>
      <c r="J82" s="3">
        <v>2</v>
      </c>
      <c r="K82" s="4">
        <v>1</v>
      </c>
      <c r="L82" s="3">
        <v>1</v>
      </c>
      <c r="M82" s="3">
        <v>1</v>
      </c>
      <c r="N82" s="4">
        <v>0.5</v>
      </c>
      <c r="O82" s="3">
        <v>1</v>
      </c>
      <c r="P82" s="3">
        <v>1</v>
      </c>
      <c r="Q82" s="4">
        <v>0.5</v>
      </c>
      <c r="R82" s="3" t="str">
        <f t="shared" si="1"/>
        <v>教学二区</v>
      </c>
    </row>
    <row r="83" spans="1:18">
      <c r="A83" s="1" t="s">
        <v>544</v>
      </c>
      <c r="B83" s="1" t="s">
        <v>44</v>
      </c>
      <c r="C83" s="1" t="s">
        <v>45</v>
      </c>
      <c r="D83" s="1" t="s">
        <v>102</v>
      </c>
      <c r="E83" s="1">
        <v>50889</v>
      </c>
      <c r="F83" s="1" t="s">
        <v>120</v>
      </c>
      <c r="G83" s="2">
        <v>44322</v>
      </c>
      <c r="I83" s="3">
        <v>22</v>
      </c>
      <c r="J83" s="3">
        <v>14</v>
      </c>
      <c r="K83" s="4">
        <v>0.636363636363636</v>
      </c>
      <c r="L83" s="3">
        <v>15</v>
      </c>
      <c r="M83" s="3">
        <v>10</v>
      </c>
      <c r="N83" s="4">
        <v>0.454545454545455</v>
      </c>
      <c r="O83" s="3">
        <v>7</v>
      </c>
      <c r="P83" s="3">
        <v>4</v>
      </c>
      <c r="Q83" s="4">
        <v>0.181818181818182</v>
      </c>
      <c r="R83" s="3" t="str">
        <f t="shared" si="1"/>
        <v>教学二区</v>
      </c>
    </row>
    <row r="84" spans="1:18">
      <c r="A84" s="1" t="s">
        <v>544</v>
      </c>
      <c r="B84" s="1" t="s">
        <v>44</v>
      </c>
      <c r="C84" s="1" t="s">
        <v>45</v>
      </c>
      <c r="D84" s="1" t="s">
        <v>102</v>
      </c>
      <c r="E84" s="1">
        <v>22139</v>
      </c>
      <c r="F84" s="1" t="s">
        <v>618</v>
      </c>
      <c r="G84" s="2">
        <v>44058</v>
      </c>
      <c r="I84" s="3">
        <v>21</v>
      </c>
      <c r="J84" s="3">
        <v>14</v>
      </c>
      <c r="K84" s="4">
        <v>0.666666666666667</v>
      </c>
      <c r="L84" s="3">
        <v>19</v>
      </c>
      <c r="M84" s="3">
        <v>13</v>
      </c>
      <c r="N84" s="4">
        <v>0.619047619047619</v>
      </c>
      <c r="O84" s="3">
        <v>2</v>
      </c>
      <c r="P84" s="3">
        <v>1</v>
      </c>
      <c r="Q84" s="4">
        <v>0.0476190476190476</v>
      </c>
      <c r="R84" s="3" t="str">
        <f t="shared" si="1"/>
        <v>教学二区</v>
      </c>
    </row>
    <row r="85" spans="1:18">
      <c r="A85" s="1" t="s">
        <v>544</v>
      </c>
      <c r="B85" s="1" t="s">
        <v>44</v>
      </c>
      <c r="C85" s="1" t="s">
        <v>45</v>
      </c>
      <c r="D85" s="1" t="s">
        <v>102</v>
      </c>
      <c r="E85" s="1">
        <v>4681</v>
      </c>
      <c r="F85" s="1" t="s">
        <v>619</v>
      </c>
      <c r="G85" s="2">
        <v>43719</v>
      </c>
      <c r="I85" s="3">
        <v>19</v>
      </c>
      <c r="J85" s="3">
        <v>8</v>
      </c>
      <c r="K85" s="4">
        <v>0.421052631578947</v>
      </c>
      <c r="L85" s="3">
        <v>11</v>
      </c>
      <c r="M85" s="3">
        <v>4</v>
      </c>
      <c r="N85" s="4">
        <v>0.210526315789474</v>
      </c>
      <c r="O85" s="3">
        <v>8</v>
      </c>
      <c r="P85" s="3">
        <v>4</v>
      </c>
      <c r="Q85" s="4">
        <v>0.210526315789474</v>
      </c>
      <c r="R85" s="3" t="str">
        <f t="shared" si="1"/>
        <v>教学二区</v>
      </c>
    </row>
    <row r="86" spans="1:18">
      <c r="A86" s="1" t="s">
        <v>544</v>
      </c>
      <c r="B86" s="1" t="s">
        <v>44</v>
      </c>
      <c r="C86" s="1" t="s">
        <v>45</v>
      </c>
      <c r="D86" s="1" t="s">
        <v>111</v>
      </c>
      <c r="E86" s="1">
        <v>4302</v>
      </c>
      <c r="F86" s="1" t="s">
        <v>620</v>
      </c>
      <c r="G86" s="2">
        <v>43685</v>
      </c>
      <c r="I86" s="3">
        <v>12</v>
      </c>
      <c r="J86" s="3">
        <v>9</v>
      </c>
      <c r="K86" s="4">
        <v>0.75</v>
      </c>
      <c r="L86" s="3">
        <v>9</v>
      </c>
      <c r="M86" s="3">
        <v>6</v>
      </c>
      <c r="N86" s="4">
        <v>0.5</v>
      </c>
      <c r="O86" s="3">
        <v>3</v>
      </c>
      <c r="P86" s="3">
        <v>3</v>
      </c>
      <c r="Q86" s="4">
        <v>0.25</v>
      </c>
      <c r="R86" s="3" t="str">
        <f t="shared" si="1"/>
        <v>教学二区</v>
      </c>
    </row>
    <row r="87" spans="1:18">
      <c r="A87" s="1" t="s">
        <v>544</v>
      </c>
      <c r="B87" s="1" t="s">
        <v>44</v>
      </c>
      <c r="C87" s="1" t="s">
        <v>45</v>
      </c>
      <c r="D87" s="1" t="s">
        <v>111</v>
      </c>
      <c r="E87" s="1">
        <v>51682</v>
      </c>
      <c r="F87" s="1" t="s">
        <v>621</v>
      </c>
      <c r="G87" s="2">
        <v>44371</v>
      </c>
      <c r="I87" s="3">
        <v>14</v>
      </c>
      <c r="J87" s="3">
        <v>4</v>
      </c>
      <c r="K87" s="4">
        <v>0.285714285714286</v>
      </c>
      <c r="L87" s="3">
        <v>11</v>
      </c>
      <c r="M87" s="3">
        <v>3</v>
      </c>
      <c r="N87" s="4">
        <v>0.214285714285714</v>
      </c>
      <c r="O87" s="3">
        <v>3</v>
      </c>
      <c r="P87" s="3">
        <v>1</v>
      </c>
      <c r="Q87" s="4">
        <v>0.0714285714285714</v>
      </c>
      <c r="R87" s="3" t="str">
        <f t="shared" si="1"/>
        <v>教学二区</v>
      </c>
    </row>
    <row r="88" spans="1:18">
      <c r="A88" s="1" t="s">
        <v>544</v>
      </c>
      <c r="B88" s="1" t="s">
        <v>44</v>
      </c>
      <c r="C88" s="1" t="s">
        <v>45</v>
      </c>
      <c r="D88" s="1" t="s">
        <v>111</v>
      </c>
      <c r="E88" s="1">
        <v>5728</v>
      </c>
      <c r="F88" s="1" t="s">
        <v>622</v>
      </c>
      <c r="G88" s="2">
        <v>43776</v>
      </c>
      <c r="I88" s="3">
        <v>22</v>
      </c>
      <c r="J88" s="3">
        <v>10</v>
      </c>
      <c r="K88" s="4">
        <v>0.454545454545455</v>
      </c>
      <c r="L88" s="3">
        <v>14</v>
      </c>
      <c r="M88" s="3">
        <v>8</v>
      </c>
      <c r="N88" s="4">
        <v>0.363636363636364</v>
      </c>
      <c r="O88" s="3">
        <v>8</v>
      </c>
      <c r="P88" s="3">
        <v>2</v>
      </c>
      <c r="Q88" s="4">
        <v>0.0909090909090909</v>
      </c>
      <c r="R88" s="3" t="str">
        <f t="shared" si="1"/>
        <v>教学二区</v>
      </c>
    </row>
    <row r="89" spans="1:18">
      <c r="A89" s="1" t="s">
        <v>544</v>
      </c>
      <c r="B89" s="1" t="s">
        <v>44</v>
      </c>
      <c r="C89" s="1" t="s">
        <v>45</v>
      </c>
      <c r="D89" s="1" t="s">
        <v>111</v>
      </c>
      <c r="E89" s="1">
        <v>62443</v>
      </c>
      <c r="F89" s="1" t="s">
        <v>623</v>
      </c>
      <c r="G89" s="2">
        <v>44940</v>
      </c>
      <c r="I89" s="3">
        <v>23</v>
      </c>
      <c r="J89" s="3">
        <v>7</v>
      </c>
      <c r="K89" s="4">
        <v>0.304347826086957</v>
      </c>
      <c r="L89" s="3">
        <v>16</v>
      </c>
      <c r="M89" s="3">
        <v>4</v>
      </c>
      <c r="N89" s="4">
        <v>0.173913043478261</v>
      </c>
      <c r="O89" s="3">
        <v>7</v>
      </c>
      <c r="P89" s="3">
        <v>3</v>
      </c>
      <c r="Q89" s="4">
        <v>0.130434782608696</v>
      </c>
      <c r="R89" s="3" t="str">
        <f t="shared" si="1"/>
        <v>教学二区</v>
      </c>
    </row>
    <row r="90" spans="1:18">
      <c r="A90" s="1" t="s">
        <v>544</v>
      </c>
      <c r="B90" s="1" t="s">
        <v>44</v>
      </c>
      <c r="C90" s="1" t="s">
        <v>45</v>
      </c>
      <c r="D90" s="1" t="s">
        <v>111</v>
      </c>
      <c r="E90" s="1">
        <v>50715</v>
      </c>
      <c r="F90" s="1" t="s">
        <v>624</v>
      </c>
      <c r="G90" s="2">
        <v>44328</v>
      </c>
      <c r="I90" s="3">
        <v>25</v>
      </c>
      <c r="J90" s="3">
        <v>11</v>
      </c>
      <c r="K90" s="4">
        <v>0.44</v>
      </c>
      <c r="L90" s="3">
        <v>19</v>
      </c>
      <c r="M90" s="3">
        <v>10</v>
      </c>
      <c r="N90" s="4">
        <v>0.4</v>
      </c>
      <c r="O90" s="3">
        <v>6</v>
      </c>
      <c r="P90" s="3">
        <v>1</v>
      </c>
      <c r="Q90" s="4">
        <v>0.04</v>
      </c>
      <c r="R90" s="3" t="str">
        <f t="shared" si="1"/>
        <v>教学二区</v>
      </c>
    </row>
    <row r="91" spans="1:18">
      <c r="A91" s="1" t="s">
        <v>544</v>
      </c>
      <c r="B91" s="1" t="s">
        <v>44</v>
      </c>
      <c r="C91" s="1" t="s">
        <v>45</v>
      </c>
      <c r="D91" s="1" t="s">
        <v>111</v>
      </c>
      <c r="E91" s="1">
        <v>6606</v>
      </c>
      <c r="F91" s="1" t="s">
        <v>625</v>
      </c>
      <c r="G91" s="2">
        <v>43830</v>
      </c>
      <c r="I91" s="3">
        <v>14</v>
      </c>
      <c r="J91" s="3">
        <v>7</v>
      </c>
      <c r="K91" s="4">
        <v>0.5</v>
      </c>
      <c r="L91" s="3">
        <v>12</v>
      </c>
      <c r="M91" s="3">
        <v>5</v>
      </c>
      <c r="N91" s="4">
        <v>0.357142857142857</v>
      </c>
      <c r="O91" s="3">
        <v>2</v>
      </c>
      <c r="P91" s="3">
        <v>2</v>
      </c>
      <c r="Q91" s="4">
        <v>0.142857142857143</v>
      </c>
      <c r="R91" s="3" t="str">
        <f t="shared" si="1"/>
        <v>教学二区</v>
      </c>
    </row>
    <row r="92" spans="1:18">
      <c r="A92" s="1" t="s">
        <v>544</v>
      </c>
      <c r="B92" s="1" t="s">
        <v>44</v>
      </c>
      <c r="C92" s="1" t="s">
        <v>45</v>
      </c>
      <c r="D92" s="1" t="s">
        <v>111</v>
      </c>
      <c r="E92" s="1">
        <v>21556</v>
      </c>
      <c r="F92" s="1" t="s">
        <v>626</v>
      </c>
      <c r="G92" s="2">
        <v>44022</v>
      </c>
      <c r="I92" s="3">
        <v>12</v>
      </c>
      <c r="J92" s="3">
        <v>6</v>
      </c>
      <c r="K92" s="4">
        <v>0.5</v>
      </c>
      <c r="L92" s="3">
        <v>8</v>
      </c>
      <c r="M92" s="3">
        <v>4</v>
      </c>
      <c r="N92" s="4">
        <v>0.333333333333333</v>
      </c>
      <c r="O92" s="3">
        <v>4</v>
      </c>
      <c r="P92" s="3">
        <v>2</v>
      </c>
      <c r="Q92" s="4">
        <v>0.166666666666667</v>
      </c>
      <c r="R92" s="3" t="str">
        <f t="shared" si="1"/>
        <v>教学二区</v>
      </c>
    </row>
    <row r="93" spans="1:18">
      <c r="A93" s="1" t="s">
        <v>544</v>
      </c>
      <c r="B93" s="1" t="s">
        <v>44</v>
      </c>
      <c r="C93" s="1" t="s">
        <v>45</v>
      </c>
      <c r="D93" s="1" t="s">
        <v>111</v>
      </c>
      <c r="E93" s="1">
        <v>68853</v>
      </c>
      <c r="F93" s="1" t="s">
        <v>491</v>
      </c>
      <c r="G93" s="2">
        <v>45241</v>
      </c>
      <c r="I93" s="3">
        <v>2</v>
      </c>
      <c r="J93" s="3">
        <v>2</v>
      </c>
      <c r="K93" s="4">
        <v>1</v>
      </c>
      <c r="L93" s="3">
        <v>0</v>
      </c>
      <c r="M93" s="3">
        <v>0</v>
      </c>
      <c r="N93" s="4">
        <v>0</v>
      </c>
      <c r="O93" s="3">
        <v>2</v>
      </c>
      <c r="P93" s="3">
        <v>2</v>
      </c>
      <c r="Q93" s="4">
        <v>1</v>
      </c>
      <c r="R93" s="3" t="str">
        <f t="shared" si="1"/>
        <v>教学二区</v>
      </c>
    </row>
    <row r="94" spans="1:18">
      <c r="A94" s="1" t="s">
        <v>544</v>
      </c>
      <c r="B94" s="1" t="s">
        <v>44</v>
      </c>
      <c r="C94" s="1" t="s">
        <v>45</v>
      </c>
      <c r="D94" s="1" t="s">
        <v>111</v>
      </c>
      <c r="E94" s="1">
        <v>15547</v>
      </c>
      <c r="F94" s="1" t="s">
        <v>627</v>
      </c>
      <c r="G94" s="2">
        <v>43925</v>
      </c>
      <c r="I94" s="3">
        <v>27</v>
      </c>
      <c r="J94" s="3">
        <v>10</v>
      </c>
      <c r="K94" s="4">
        <v>0.37037037037037</v>
      </c>
      <c r="L94" s="3">
        <v>20</v>
      </c>
      <c r="M94" s="3">
        <v>7</v>
      </c>
      <c r="N94" s="4">
        <v>0.259259259259259</v>
      </c>
      <c r="O94" s="3">
        <v>7</v>
      </c>
      <c r="P94" s="3">
        <v>3</v>
      </c>
      <c r="Q94" s="4">
        <v>0.111111111111111</v>
      </c>
      <c r="R94" s="3" t="str">
        <f t="shared" si="1"/>
        <v>教学二区</v>
      </c>
    </row>
    <row r="95" spans="1:18">
      <c r="A95" s="1" t="s">
        <v>544</v>
      </c>
      <c r="B95" s="1" t="s">
        <v>44</v>
      </c>
      <c r="C95" s="1" t="s">
        <v>45</v>
      </c>
      <c r="D95" s="1" t="s">
        <v>111</v>
      </c>
      <c r="E95" s="1">
        <v>62608</v>
      </c>
      <c r="F95" s="1" t="s">
        <v>628</v>
      </c>
      <c r="G95" s="2">
        <v>44981</v>
      </c>
      <c r="I95" s="3">
        <v>17</v>
      </c>
      <c r="J95" s="3">
        <v>7</v>
      </c>
      <c r="K95" s="4">
        <v>0.411764705882353</v>
      </c>
      <c r="L95" s="3">
        <v>11</v>
      </c>
      <c r="M95" s="3">
        <v>3</v>
      </c>
      <c r="N95" s="4">
        <v>0.176470588235294</v>
      </c>
      <c r="O95" s="3">
        <v>6</v>
      </c>
      <c r="P95" s="3">
        <v>4</v>
      </c>
      <c r="Q95" s="4">
        <v>0.235294117647059</v>
      </c>
      <c r="R95" s="3" t="str">
        <f t="shared" si="1"/>
        <v>教学二区</v>
      </c>
    </row>
    <row r="96" spans="1:18">
      <c r="A96" s="1" t="s">
        <v>544</v>
      </c>
      <c r="B96" s="1" t="s">
        <v>44</v>
      </c>
      <c r="C96" s="1" t="s">
        <v>45</v>
      </c>
      <c r="D96" s="1" t="s">
        <v>111</v>
      </c>
      <c r="E96" s="1">
        <v>20324</v>
      </c>
      <c r="F96" s="1" t="s">
        <v>442</v>
      </c>
      <c r="G96" s="2">
        <v>43939</v>
      </c>
      <c r="I96" s="3">
        <v>10</v>
      </c>
      <c r="J96" s="3">
        <v>2</v>
      </c>
      <c r="K96" s="4">
        <v>0.2</v>
      </c>
      <c r="L96" s="3">
        <v>7</v>
      </c>
      <c r="M96" s="3">
        <v>1</v>
      </c>
      <c r="N96" s="4">
        <v>0.1</v>
      </c>
      <c r="O96" s="3">
        <v>3</v>
      </c>
      <c r="P96" s="3">
        <v>1</v>
      </c>
      <c r="Q96" s="4">
        <v>0.1</v>
      </c>
      <c r="R96" s="3" t="str">
        <f t="shared" si="1"/>
        <v>教学二区</v>
      </c>
    </row>
    <row r="97" spans="1:18">
      <c r="A97" s="1" t="s">
        <v>544</v>
      </c>
      <c r="B97" s="1" t="s">
        <v>44</v>
      </c>
      <c r="C97" s="1" t="s">
        <v>45</v>
      </c>
      <c r="D97" s="1" t="s">
        <v>111</v>
      </c>
      <c r="E97" s="1">
        <v>23662</v>
      </c>
      <c r="F97" s="1" t="s">
        <v>629</v>
      </c>
      <c r="G97" s="2">
        <v>44147</v>
      </c>
      <c r="I97" s="3">
        <v>21</v>
      </c>
      <c r="J97" s="3">
        <v>7</v>
      </c>
      <c r="K97" s="4">
        <v>0.333333333333333</v>
      </c>
      <c r="L97" s="3">
        <v>12</v>
      </c>
      <c r="M97" s="3">
        <v>4</v>
      </c>
      <c r="N97" s="4">
        <v>0.19047619047619</v>
      </c>
      <c r="O97" s="3">
        <v>9</v>
      </c>
      <c r="P97" s="3">
        <v>3</v>
      </c>
      <c r="Q97" s="4">
        <v>0.142857142857143</v>
      </c>
      <c r="R97" s="3" t="str">
        <f t="shared" si="1"/>
        <v>教学二区</v>
      </c>
    </row>
    <row r="98" spans="1:18">
      <c r="A98" s="1" t="s">
        <v>544</v>
      </c>
      <c r="B98" s="1" t="s">
        <v>44</v>
      </c>
      <c r="C98" s="1" t="s">
        <v>45</v>
      </c>
      <c r="D98" s="1" t="s">
        <v>111</v>
      </c>
      <c r="E98" s="1">
        <v>53692</v>
      </c>
      <c r="F98" s="1" t="s">
        <v>630</v>
      </c>
      <c r="G98" s="2">
        <v>44525</v>
      </c>
      <c r="I98" s="3">
        <v>23</v>
      </c>
      <c r="J98" s="3">
        <v>10</v>
      </c>
      <c r="K98" s="4">
        <v>0.434782608695652</v>
      </c>
      <c r="L98" s="3">
        <v>11</v>
      </c>
      <c r="M98" s="3">
        <v>4</v>
      </c>
      <c r="N98" s="4">
        <v>0.173913043478261</v>
      </c>
      <c r="O98" s="3">
        <v>12</v>
      </c>
      <c r="P98" s="3">
        <v>6</v>
      </c>
      <c r="Q98" s="4">
        <v>0.260869565217391</v>
      </c>
      <c r="R98" s="3" t="str">
        <f t="shared" si="1"/>
        <v>教学二区</v>
      </c>
    </row>
    <row r="99" spans="1:18">
      <c r="A99" s="1" t="s">
        <v>544</v>
      </c>
      <c r="B99" s="1" t="s">
        <v>44</v>
      </c>
      <c r="C99" s="1" t="s">
        <v>45</v>
      </c>
      <c r="D99" s="1" t="s">
        <v>111</v>
      </c>
      <c r="E99" s="1">
        <v>5729</v>
      </c>
      <c r="F99" s="1" t="s">
        <v>631</v>
      </c>
      <c r="G99" s="2">
        <v>43776</v>
      </c>
      <c r="I99" s="3">
        <v>13</v>
      </c>
      <c r="J99" s="3">
        <v>7</v>
      </c>
      <c r="K99" s="4">
        <v>0.538461538461538</v>
      </c>
      <c r="L99" s="3">
        <v>10</v>
      </c>
      <c r="M99" s="3">
        <v>7</v>
      </c>
      <c r="N99" s="4">
        <v>0.538461538461538</v>
      </c>
      <c r="O99" s="3">
        <v>3</v>
      </c>
      <c r="P99" s="3">
        <v>0</v>
      </c>
      <c r="Q99" s="4">
        <v>0</v>
      </c>
      <c r="R99" s="3" t="str">
        <f t="shared" si="1"/>
        <v>教学二区</v>
      </c>
    </row>
    <row r="100" spans="1:18">
      <c r="A100" s="1" t="s">
        <v>544</v>
      </c>
      <c r="B100" s="1" t="s">
        <v>44</v>
      </c>
      <c r="C100" s="1" t="s">
        <v>45</v>
      </c>
      <c r="D100" s="1" t="s">
        <v>111</v>
      </c>
      <c r="E100" s="1">
        <v>13000</v>
      </c>
      <c r="F100" s="1" t="s">
        <v>632</v>
      </c>
      <c r="G100" s="2">
        <v>45072</v>
      </c>
      <c r="I100" s="3">
        <v>19</v>
      </c>
      <c r="J100" s="3">
        <v>12</v>
      </c>
      <c r="K100" s="4">
        <v>0.631578947368421</v>
      </c>
      <c r="L100" s="3">
        <v>16</v>
      </c>
      <c r="M100" s="3">
        <v>9</v>
      </c>
      <c r="N100" s="4">
        <v>0.473684210526316</v>
      </c>
      <c r="O100" s="3">
        <v>3</v>
      </c>
      <c r="P100" s="3">
        <v>3</v>
      </c>
      <c r="Q100" s="4">
        <v>0.157894736842105</v>
      </c>
      <c r="R100" s="3" t="str">
        <f t="shared" si="1"/>
        <v>教学二区</v>
      </c>
    </row>
    <row r="101" spans="1:18">
      <c r="A101" s="1" t="s">
        <v>544</v>
      </c>
      <c r="B101" s="1" t="s">
        <v>44</v>
      </c>
      <c r="C101" s="1" t="s">
        <v>45</v>
      </c>
      <c r="D101" s="1" t="s">
        <v>111</v>
      </c>
      <c r="E101" s="1">
        <v>22266</v>
      </c>
      <c r="F101" s="1" t="s">
        <v>633</v>
      </c>
      <c r="G101" s="2">
        <v>44065</v>
      </c>
      <c r="I101" s="3">
        <v>17</v>
      </c>
      <c r="J101" s="3">
        <v>6</v>
      </c>
      <c r="K101" s="4">
        <v>0.352941176470588</v>
      </c>
      <c r="L101" s="3">
        <v>8</v>
      </c>
      <c r="M101" s="3">
        <v>2</v>
      </c>
      <c r="N101" s="4">
        <v>0.117647058823529</v>
      </c>
      <c r="O101" s="3">
        <v>9</v>
      </c>
      <c r="P101" s="3">
        <v>4</v>
      </c>
      <c r="Q101" s="4">
        <v>0.235294117647059</v>
      </c>
      <c r="R101" s="3" t="str">
        <f t="shared" si="1"/>
        <v>教学二区</v>
      </c>
    </row>
    <row r="102" spans="1:18">
      <c r="A102" s="1" t="s">
        <v>544</v>
      </c>
      <c r="B102" s="1" t="s">
        <v>44</v>
      </c>
      <c r="C102" s="1" t="s">
        <v>45</v>
      </c>
      <c r="D102" s="1" t="s">
        <v>111</v>
      </c>
      <c r="E102" s="1">
        <v>21736</v>
      </c>
      <c r="F102" s="1" t="s">
        <v>634</v>
      </c>
      <c r="G102" s="2">
        <v>44034</v>
      </c>
      <c r="I102" s="3">
        <v>20</v>
      </c>
      <c r="J102" s="3">
        <v>12</v>
      </c>
      <c r="K102" s="4">
        <v>0.6</v>
      </c>
      <c r="L102" s="3">
        <v>14</v>
      </c>
      <c r="M102" s="3">
        <v>8</v>
      </c>
      <c r="N102" s="4">
        <v>0.4</v>
      </c>
      <c r="O102" s="3">
        <v>6</v>
      </c>
      <c r="P102" s="3">
        <v>4</v>
      </c>
      <c r="Q102" s="4">
        <v>0.2</v>
      </c>
      <c r="R102" s="3" t="str">
        <f t="shared" si="1"/>
        <v>教学二区</v>
      </c>
    </row>
    <row r="103" spans="1:18">
      <c r="A103" s="1" t="s">
        <v>544</v>
      </c>
      <c r="B103" s="1" t="s">
        <v>44</v>
      </c>
      <c r="C103" s="1" t="s">
        <v>45</v>
      </c>
      <c r="D103" s="1" t="s">
        <v>111</v>
      </c>
      <c r="E103" s="1">
        <v>24674</v>
      </c>
      <c r="F103" s="1" t="s">
        <v>112</v>
      </c>
      <c r="G103" s="2">
        <v>44174</v>
      </c>
      <c r="I103" s="3">
        <v>16</v>
      </c>
      <c r="J103" s="3">
        <v>4</v>
      </c>
      <c r="K103" s="4">
        <v>0.25</v>
      </c>
      <c r="L103" s="3">
        <v>14</v>
      </c>
      <c r="M103" s="3">
        <v>4</v>
      </c>
      <c r="N103" s="4">
        <v>0.25</v>
      </c>
      <c r="O103" s="3">
        <v>2</v>
      </c>
      <c r="P103" s="3">
        <v>0</v>
      </c>
      <c r="Q103" s="4">
        <v>0</v>
      </c>
      <c r="R103" s="3" t="str">
        <f t="shared" si="1"/>
        <v>教学二区</v>
      </c>
    </row>
    <row r="104" spans="1:18">
      <c r="A104" s="1" t="s">
        <v>544</v>
      </c>
      <c r="B104" s="1" t="s">
        <v>44</v>
      </c>
      <c r="C104" s="1" t="s">
        <v>45</v>
      </c>
      <c r="D104" s="1" t="s">
        <v>72</v>
      </c>
      <c r="E104" s="1">
        <v>6592</v>
      </c>
      <c r="F104" s="1" t="s">
        <v>635</v>
      </c>
      <c r="G104" s="2">
        <v>43830</v>
      </c>
      <c r="I104" s="3">
        <v>19</v>
      </c>
      <c r="J104" s="3">
        <v>11</v>
      </c>
      <c r="K104" s="4">
        <v>0.578947368421053</v>
      </c>
      <c r="L104" s="3">
        <v>12</v>
      </c>
      <c r="M104" s="3">
        <v>5</v>
      </c>
      <c r="N104" s="4">
        <v>0.263157894736842</v>
      </c>
      <c r="O104" s="3">
        <v>7</v>
      </c>
      <c r="P104" s="3">
        <v>6</v>
      </c>
      <c r="Q104" s="4">
        <v>0.315789473684211</v>
      </c>
      <c r="R104" s="3" t="str">
        <f t="shared" si="1"/>
        <v>教学二区</v>
      </c>
    </row>
    <row r="105" spans="1:18">
      <c r="A105" s="1" t="s">
        <v>544</v>
      </c>
      <c r="B105" s="1" t="s">
        <v>44</v>
      </c>
      <c r="C105" s="1" t="s">
        <v>45</v>
      </c>
      <c r="D105" s="1" t="s">
        <v>72</v>
      </c>
      <c r="E105" s="1">
        <v>62485</v>
      </c>
      <c r="F105" s="1" t="s">
        <v>636</v>
      </c>
      <c r="G105" s="2">
        <v>44967</v>
      </c>
      <c r="I105" s="3">
        <v>22</v>
      </c>
      <c r="J105" s="3">
        <v>14</v>
      </c>
      <c r="K105" s="4">
        <v>0.636363636363636</v>
      </c>
      <c r="L105" s="3">
        <v>5</v>
      </c>
      <c r="M105" s="3">
        <v>4</v>
      </c>
      <c r="N105" s="4">
        <v>0.181818181818182</v>
      </c>
      <c r="O105" s="3">
        <v>17</v>
      </c>
      <c r="P105" s="3">
        <v>10</v>
      </c>
      <c r="Q105" s="4">
        <v>0.454545454545455</v>
      </c>
      <c r="R105" s="3" t="str">
        <f t="shared" si="1"/>
        <v>教学二区</v>
      </c>
    </row>
    <row r="106" spans="1:18">
      <c r="A106" s="1" t="s">
        <v>544</v>
      </c>
      <c r="B106" s="1" t="s">
        <v>44</v>
      </c>
      <c r="C106" s="1" t="s">
        <v>45</v>
      </c>
      <c r="D106" s="1" t="s">
        <v>72</v>
      </c>
      <c r="E106" s="1">
        <v>62602</v>
      </c>
      <c r="F106" s="1" t="s">
        <v>637</v>
      </c>
      <c r="G106" s="2">
        <v>44981</v>
      </c>
      <c r="I106" s="3">
        <v>17</v>
      </c>
      <c r="J106" s="3">
        <v>10</v>
      </c>
      <c r="K106" s="4">
        <v>0.588235294117647</v>
      </c>
      <c r="L106" s="3">
        <v>14</v>
      </c>
      <c r="M106" s="3">
        <v>8</v>
      </c>
      <c r="N106" s="4">
        <v>0.470588235294118</v>
      </c>
      <c r="O106" s="3">
        <v>3</v>
      </c>
      <c r="P106" s="3">
        <v>2</v>
      </c>
      <c r="Q106" s="4">
        <v>0.117647058823529</v>
      </c>
      <c r="R106" s="3" t="str">
        <f t="shared" si="1"/>
        <v>教学二区</v>
      </c>
    </row>
    <row r="107" spans="1:18">
      <c r="A107" s="1" t="s">
        <v>544</v>
      </c>
      <c r="B107" s="1" t="s">
        <v>44</v>
      </c>
      <c r="C107" s="1" t="s">
        <v>45</v>
      </c>
      <c r="D107" s="1" t="s">
        <v>72</v>
      </c>
      <c r="E107" s="1">
        <v>53677</v>
      </c>
      <c r="F107" s="1" t="s">
        <v>638</v>
      </c>
      <c r="G107" s="2">
        <v>44525</v>
      </c>
      <c r="I107" s="3">
        <v>12</v>
      </c>
      <c r="J107" s="3">
        <v>8</v>
      </c>
      <c r="K107" s="4">
        <v>0.666666666666667</v>
      </c>
      <c r="L107" s="3">
        <v>9</v>
      </c>
      <c r="M107" s="3">
        <v>5</v>
      </c>
      <c r="N107" s="4">
        <v>0.416666666666667</v>
      </c>
      <c r="O107" s="3">
        <v>3</v>
      </c>
      <c r="P107" s="3">
        <v>3</v>
      </c>
      <c r="Q107" s="4">
        <v>0.25</v>
      </c>
      <c r="R107" s="3" t="str">
        <f t="shared" si="1"/>
        <v>教学二区</v>
      </c>
    </row>
    <row r="108" spans="1:18">
      <c r="A108" s="1" t="s">
        <v>544</v>
      </c>
      <c r="B108" s="1" t="s">
        <v>44</v>
      </c>
      <c r="C108" s="1" t="s">
        <v>45</v>
      </c>
      <c r="D108" s="1" t="s">
        <v>72</v>
      </c>
      <c r="E108" s="1">
        <v>4991</v>
      </c>
      <c r="F108" s="1" t="s">
        <v>107</v>
      </c>
      <c r="G108" s="2">
        <v>43746</v>
      </c>
      <c r="I108" s="3">
        <v>12</v>
      </c>
      <c r="J108" s="3">
        <v>7</v>
      </c>
      <c r="K108" s="4">
        <v>0.583333333333333</v>
      </c>
      <c r="L108" s="3">
        <v>4</v>
      </c>
      <c r="M108" s="3">
        <v>3</v>
      </c>
      <c r="N108" s="4">
        <v>0.25</v>
      </c>
      <c r="O108" s="3">
        <v>8</v>
      </c>
      <c r="P108" s="3">
        <v>4</v>
      </c>
      <c r="Q108" s="4">
        <v>0.333333333333333</v>
      </c>
      <c r="R108" s="3" t="str">
        <f t="shared" si="1"/>
        <v>教学二区</v>
      </c>
    </row>
    <row r="109" spans="1:18">
      <c r="A109" s="1" t="s">
        <v>544</v>
      </c>
      <c r="B109" s="1" t="s">
        <v>44</v>
      </c>
      <c r="C109" s="1" t="s">
        <v>45</v>
      </c>
      <c r="D109" s="1" t="s">
        <v>72</v>
      </c>
      <c r="E109" s="1">
        <v>21069</v>
      </c>
      <c r="F109" s="1" t="s">
        <v>639</v>
      </c>
      <c r="G109" s="2">
        <v>43988</v>
      </c>
      <c r="I109" s="3">
        <v>9</v>
      </c>
      <c r="J109" s="3">
        <v>6</v>
      </c>
      <c r="K109" s="4">
        <v>0.666666666666667</v>
      </c>
      <c r="L109" s="3">
        <v>6</v>
      </c>
      <c r="M109" s="3">
        <v>4</v>
      </c>
      <c r="N109" s="4">
        <v>0.444444444444444</v>
      </c>
      <c r="O109" s="3">
        <v>3</v>
      </c>
      <c r="P109" s="3">
        <v>2</v>
      </c>
      <c r="Q109" s="4">
        <v>0.222222222222222</v>
      </c>
      <c r="R109" s="3" t="str">
        <f t="shared" si="1"/>
        <v>教学二区</v>
      </c>
    </row>
    <row r="110" spans="1:18">
      <c r="A110" s="1" t="s">
        <v>544</v>
      </c>
      <c r="B110" s="1" t="s">
        <v>44</v>
      </c>
      <c r="C110" s="1" t="s">
        <v>45</v>
      </c>
      <c r="D110" s="1" t="s">
        <v>72</v>
      </c>
      <c r="E110" s="1">
        <v>25695</v>
      </c>
      <c r="F110" s="1" t="s">
        <v>640</v>
      </c>
      <c r="G110" s="2">
        <v>44231</v>
      </c>
      <c r="I110" s="3">
        <v>26</v>
      </c>
      <c r="J110" s="3">
        <v>14</v>
      </c>
      <c r="K110" s="4">
        <v>0.538461538461538</v>
      </c>
      <c r="L110" s="3">
        <v>20</v>
      </c>
      <c r="M110" s="3">
        <v>10</v>
      </c>
      <c r="N110" s="4">
        <v>0.384615384615385</v>
      </c>
      <c r="O110" s="3">
        <v>6</v>
      </c>
      <c r="P110" s="3">
        <v>4</v>
      </c>
      <c r="Q110" s="4">
        <v>0.153846153846154</v>
      </c>
      <c r="R110" s="3" t="str">
        <f t="shared" si="1"/>
        <v>教学二区</v>
      </c>
    </row>
    <row r="111" spans="1:18">
      <c r="A111" s="1" t="s">
        <v>544</v>
      </c>
      <c r="B111" s="1" t="s">
        <v>44</v>
      </c>
      <c r="C111" s="1" t="s">
        <v>45</v>
      </c>
      <c r="D111" s="1" t="s">
        <v>72</v>
      </c>
      <c r="E111" s="1">
        <v>20344</v>
      </c>
      <c r="F111" s="1" t="s">
        <v>641</v>
      </c>
      <c r="G111" s="2">
        <v>43939</v>
      </c>
      <c r="I111" s="3">
        <v>7</v>
      </c>
      <c r="J111" s="3">
        <v>3</v>
      </c>
      <c r="K111" s="4">
        <v>0.428571428571429</v>
      </c>
      <c r="L111" s="3">
        <v>5</v>
      </c>
      <c r="M111" s="3">
        <v>1</v>
      </c>
      <c r="N111" s="4">
        <v>0.142857142857143</v>
      </c>
      <c r="O111" s="3">
        <v>2</v>
      </c>
      <c r="P111" s="3">
        <v>2</v>
      </c>
      <c r="Q111" s="4">
        <v>0.285714285714286</v>
      </c>
      <c r="R111" s="3" t="str">
        <f t="shared" si="1"/>
        <v>教学二区</v>
      </c>
    </row>
    <row r="112" spans="1:18">
      <c r="A112" s="1" t="s">
        <v>544</v>
      </c>
      <c r="B112" s="1" t="s">
        <v>44</v>
      </c>
      <c r="C112" s="1" t="s">
        <v>45</v>
      </c>
      <c r="D112" s="1" t="s">
        <v>72</v>
      </c>
      <c r="E112" s="1">
        <v>53345</v>
      </c>
      <c r="F112" s="1" t="s">
        <v>642</v>
      </c>
      <c r="G112" s="2">
        <v>44511</v>
      </c>
      <c r="I112" s="3">
        <v>18</v>
      </c>
      <c r="J112" s="3">
        <v>8</v>
      </c>
      <c r="K112" s="4">
        <v>0.444444444444444</v>
      </c>
      <c r="L112" s="3">
        <v>12</v>
      </c>
      <c r="M112" s="3">
        <v>6</v>
      </c>
      <c r="N112" s="4">
        <v>0.333333333333333</v>
      </c>
      <c r="O112" s="3">
        <v>6</v>
      </c>
      <c r="P112" s="3">
        <v>2</v>
      </c>
      <c r="Q112" s="4">
        <v>0.111111111111111</v>
      </c>
      <c r="R112" s="3" t="str">
        <f t="shared" si="1"/>
        <v>教学二区</v>
      </c>
    </row>
    <row r="113" spans="1:18">
      <c r="A113" s="1" t="s">
        <v>544</v>
      </c>
      <c r="B113" s="1" t="s">
        <v>44</v>
      </c>
      <c r="C113" s="1" t="s">
        <v>45</v>
      </c>
      <c r="D113" s="1" t="s">
        <v>72</v>
      </c>
      <c r="E113" s="1">
        <v>22424</v>
      </c>
      <c r="F113" s="1" t="s">
        <v>643</v>
      </c>
      <c r="G113" s="2">
        <v>44079</v>
      </c>
      <c r="I113" s="3">
        <v>14</v>
      </c>
      <c r="J113" s="3">
        <v>2</v>
      </c>
      <c r="K113" s="4">
        <v>0.142857142857143</v>
      </c>
      <c r="L113" s="3">
        <v>12</v>
      </c>
      <c r="M113" s="3">
        <v>2</v>
      </c>
      <c r="N113" s="4">
        <v>0.142857142857143</v>
      </c>
      <c r="O113" s="3">
        <v>2</v>
      </c>
      <c r="P113" s="3">
        <v>0</v>
      </c>
      <c r="Q113" s="4">
        <v>0</v>
      </c>
      <c r="R113" s="3" t="str">
        <f t="shared" si="1"/>
        <v>教学二区</v>
      </c>
    </row>
    <row r="114" spans="1:18">
      <c r="A114" s="1" t="s">
        <v>544</v>
      </c>
      <c r="B114" s="1" t="s">
        <v>44</v>
      </c>
      <c r="C114" s="1" t="s">
        <v>45</v>
      </c>
      <c r="D114" s="1" t="s">
        <v>72</v>
      </c>
      <c r="E114" s="1">
        <v>21549</v>
      </c>
      <c r="F114" s="1" t="s">
        <v>238</v>
      </c>
      <c r="G114" s="2">
        <v>44022</v>
      </c>
      <c r="I114" s="3">
        <v>16</v>
      </c>
      <c r="J114" s="3">
        <v>10</v>
      </c>
      <c r="K114" s="4">
        <v>0.625</v>
      </c>
      <c r="L114" s="3">
        <v>5</v>
      </c>
      <c r="M114" s="3">
        <v>3</v>
      </c>
      <c r="N114" s="4">
        <v>0.1875</v>
      </c>
      <c r="O114" s="3">
        <v>11</v>
      </c>
      <c r="P114" s="3">
        <v>7</v>
      </c>
      <c r="Q114" s="4">
        <v>0.4375</v>
      </c>
      <c r="R114" s="3" t="str">
        <f t="shared" si="1"/>
        <v>教学二区</v>
      </c>
    </row>
    <row r="115" spans="1:18">
      <c r="A115" s="1" t="s">
        <v>544</v>
      </c>
      <c r="B115" s="1" t="s">
        <v>44</v>
      </c>
      <c r="C115" s="1" t="s">
        <v>45</v>
      </c>
      <c r="D115" s="1" t="s">
        <v>72</v>
      </c>
      <c r="E115" s="1">
        <v>25214</v>
      </c>
      <c r="F115" s="1" t="s">
        <v>644</v>
      </c>
      <c r="G115" s="2">
        <v>44203</v>
      </c>
      <c r="I115" s="3">
        <v>25</v>
      </c>
      <c r="J115" s="3">
        <v>11</v>
      </c>
      <c r="K115" s="4">
        <v>0.44</v>
      </c>
      <c r="L115" s="3">
        <v>8</v>
      </c>
      <c r="M115" s="3">
        <v>2</v>
      </c>
      <c r="N115" s="4">
        <v>0.08</v>
      </c>
      <c r="O115" s="3">
        <v>17</v>
      </c>
      <c r="P115" s="3">
        <v>9</v>
      </c>
      <c r="Q115" s="4">
        <v>0.36</v>
      </c>
      <c r="R115" s="3" t="str">
        <f t="shared" si="1"/>
        <v>教学二区</v>
      </c>
    </row>
    <row r="116" spans="1:18">
      <c r="A116" s="1" t="s">
        <v>544</v>
      </c>
      <c r="B116" s="1" t="s">
        <v>44</v>
      </c>
      <c r="C116" s="1" t="s">
        <v>45</v>
      </c>
      <c r="D116" s="1" t="s">
        <v>72</v>
      </c>
      <c r="E116" s="1">
        <v>53349</v>
      </c>
      <c r="F116" s="1" t="s">
        <v>645</v>
      </c>
      <c r="G116" s="2">
        <v>44511</v>
      </c>
      <c r="I116" s="3">
        <v>11</v>
      </c>
      <c r="J116" s="3">
        <v>5</v>
      </c>
      <c r="K116" s="4">
        <v>0.454545454545455</v>
      </c>
      <c r="L116" s="3">
        <v>11</v>
      </c>
      <c r="M116" s="3">
        <v>5</v>
      </c>
      <c r="N116" s="4">
        <v>0.454545454545455</v>
      </c>
      <c r="O116" s="3">
        <v>0</v>
      </c>
      <c r="P116" s="3">
        <v>0</v>
      </c>
      <c r="Q116" s="4">
        <v>0</v>
      </c>
      <c r="R116" s="3" t="str">
        <f t="shared" si="1"/>
        <v>教学二区</v>
      </c>
    </row>
    <row r="117" spans="1:18">
      <c r="A117" s="1" t="s">
        <v>544</v>
      </c>
      <c r="B117" s="1" t="s">
        <v>44</v>
      </c>
      <c r="C117" s="1" t="s">
        <v>45</v>
      </c>
      <c r="D117" s="1" t="s">
        <v>72</v>
      </c>
      <c r="E117" s="1">
        <v>24302</v>
      </c>
      <c r="F117" s="1" t="s">
        <v>509</v>
      </c>
      <c r="G117" s="2">
        <v>44161</v>
      </c>
      <c r="I117" s="3">
        <v>11</v>
      </c>
      <c r="J117" s="3">
        <v>5</v>
      </c>
      <c r="K117" s="4">
        <v>0.454545454545455</v>
      </c>
      <c r="L117" s="3">
        <v>8</v>
      </c>
      <c r="M117" s="3">
        <v>2</v>
      </c>
      <c r="N117" s="4">
        <v>0.181818181818182</v>
      </c>
      <c r="O117" s="3">
        <v>3</v>
      </c>
      <c r="P117" s="3">
        <v>3</v>
      </c>
      <c r="Q117" s="4">
        <v>0.272727272727273</v>
      </c>
      <c r="R117" s="3" t="str">
        <f t="shared" si="1"/>
        <v>教学二区</v>
      </c>
    </row>
    <row r="118" spans="1:18">
      <c r="A118" s="1" t="s">
        <v>544</v>
      </c>
      <c r="B118" s="1" t="s">
        <v>44</v>
      </c>
      <c r="C118" s="1" t="s">
        <v>45</v>
      </c>
      <c r="D118" s="1" t="s">
        <v>72</v>
      </c>
      <c r="E118" s="1">
        <v>15416</v>
      </c>
      <c r="F118" s="1" t="s">
        <v>646</v>
      </c>
      <c r="G118" s="2">
        <v>43918</v>
      </c>
      <c r="I118" s="3">
        <v>15</v>
      </c>
      <c r="J118" s="3">
        <v>8</v>
      </c>
      <c r="K118" s="4">
        <v>0.533333333333333</v>
      </c>
      <c r="L118" s="3">
        <v>9</v>
      </c>
      <c r="M118" s="3">
        <v>3</v>
      </c>
      <c r="N118" s="4">
        <v>0.2</v>
      </c>
      <c r="O118" s="3">
        <v>6</v>
      </c>
      <c r="P118" s="3">
        <v>5</v>
      </c>
      <c r="Q118" s="4">
        <v>0.333333333333333</v>
      </c>
      <c r="R118" s="3" t="str">
        <f t="shared" si="1"/>
        <v>教学二区</v>
      </c>
    </row>
    <row r="119" spans="1:18">
      <c r="A119" s="1" t="s">
        <v>544</v>
      </c>
      <c r="B119" s="1" t="s">
        <v>44</v>
      </c>
      <c r="C119" s="1" t="s">
        <v>45</v>
      </c>
      <c r="D119" s="1" t="s">
        <v>72</v>
      </c>
      <c r="E119" s="1">
        <v>21286</v>
      </c>
      <c r="F119" s="1" t="s">
        <v>73</v>
      </c>
      <c r="G119" s="2">
        <v>44002</v>
      </c>
      <c r="I119" s="3">
        <v>16</v>
      </c>
      <c r="J119" s="3">
        <v>11</v>
      </c>
      <c r="K119" s="4">
        <v>0.6875</v>
      </c>
      <c r="L119" s="3">
        <v>12</v>
      </c>
      <c r="M119" s="3">
        <v>7</v>
      </c>
      <c r="N119" s="4">
        <v>0.4375</v>
      </c>
      <c r="O119" s="3">
        <v>4</v>
      </c>
      <c r="P119" s="3">
        <v>4</v>
      </c>
      <c r="Q119" s="4">
        <v>0.25</v>
      </c>
      <c r="R119" s="3" t="str">
        <f t="shared" si="1"/>
        <v>教学二区</v>
      </c>
    </row>
    <row r="120" spans="1:18">
      <c r="A120" s="1" t="s">
        <v>544</v>
      </c>
      <c r="B120" s="1" t="s">
        <v>44</v>
      </c>
      <c r="C120" s="1" t="s">
        <v>45</v>
      </c>
      <c r="D120" s="1" t="s">
        <v>72</v>
      </c>
      <c r="E120" s="1">
        <v>26356</v>
      </c>
      <c r="F120" s="1" t="s">
        <v>647</v>
      </c>
      <c r="G120" s="2">
        <v>44287</v>
      </c>
      <c r="I120" s="3">
        <v>20</v>
      </c>
      <c r="J120" s="3">
        <v>13</v>
      </c>
      <c r="K120" s="4">
        <v>0.65</v>
      </c>
      <c r="L120" s="3">
        <v>4</v>
      </c>
      <c r="M120" s="3">
        <v>3</v>
      </c>
      <c r="N120" s="4">
        <v>0.15</v>
      </c>
      <c r="O120" s="3">
        <v>16</v>
      </c>
      <c r="P120" s="3">
        <v>10</v>
      </c>
      <c r="Q120" s="4">
        <v>0.5</v>
      </c>
      <c r="R120" s="3" t="str">
        <f t="shared" si="1"/>
        <v>教学二区</v>
      </c>
    </row>
    <row r="121" spans="1:18">
      <c r="A121" s="1" t="s">
        <v>544</v>
      </c>
      <c r="B121" s="1" t="s">
        <v>44</v>
      </c>
      <c r="C121" s="1" t="s">
        <v>67</v>
      </c>
      <c r="D121" s="1" t="s">
        <v>105</v>
      </c>
      <c r="E121" s="1">
        <v>1064</v>
      </c>
      <c r="F121" s="1" t="s">
        <v>648</v>
      </c>
      <c r="G121" s="2">
        <v>43157</v>
      </c>
      <c r="I121" s="3">
        <v>19</v>
      </c>
      <c r="J121" s="3">
        <v>5</v>
      </c>
      <c r="K121" s="4">
        <v>0.263157894736842</v>
      </c>
      <c r="L121" s="3">
        <v>7</v>
      </c>
      <c r="M121" s="3">
        <v>1</v>
      </c>
      <c r="N121" s="4">
        <v>0.0526315789473684</v>
      </c>
      <c r="O121" s="3">
        <v>12</v>
      </c>
      <c r="P121" s="3">
        <v>4</v>
      </c>
      <c r="Q121" s="4">
        <v>0.210526315789474</v>
      </c>
      <c r="R121" s="3" t="str">
        <f t="shared" si="1"/>
        <v>教学二区</v>
      </c>
    </row>
    <row r="122" spans="1:18">
      <c r="A122" s="1" t="s">
        <v>544</v>
      </c>
      <c r="B122" s="1" t="s">
        <v>44</v>
      </c>
      <c r="C122" s="1" t="s">
        <v>67</v>
      </c>
      <c r="D122" s="1" t="s">
        <v>105</v>
      </c>
      <c r="E122" s="1">
        <v>25201</v>
      </c>
      <c r="F122" s="1" t="s">
        <v>649</v>
      </c>
      <c r="G122" s="2">
        <v>44203</v>
      </c>
      <c r="I122" s="3">
        <v>22</v>
      </c>
      <c r="J122" s="3">
        <v>11</v>
      </c>
      <c r="K122" s="4">
        <v>0.5</v>
      </c>
      <c r="L122" s="3">
        <v>12</v>
      </c>
      <c r="M122" s="3">
        <v>5</v>
      </c>
      <c r="N122" s="4">
        <v>0.227272727272727</v>
      </c>
      <c r="O122" s="3">
        <v>10</v>
      </c>
      <c r="P122" s="3">
        <v>6</v>
      </c>
      <c r="Q122" s="4">
        <v>0.272727272727273</v>
      </c>
      <c r="R122" s="3" t="str">
        <f t="shared" si="1"/>
        <v>教学二区</v>
      </c>
    </row>
    <row r="123" spans="1:18">
      <c r="A123" s="1" t="s">
        <v>544</v>
      </c>
      <c r="B123" s="1" t="s">
        <v>44</v>
      </c>
      <c r="C123" s="1" t="s">
        <v>67</v>
      </c>
      <c r="D123" s="1" t="s">
        <v>105</v>
      </c>
      <c r="E123" s="1">
        <v>22650</v>
      </c>
      <c r="F123" s="1" t="s">
        <v>106</v>
      </c>
      <c r="G123" s="2">
        <v>44827</v>
      </c>
      <c r="I123" s="3">
        <v>18</v>
      </c>
      <c r="J123" s="3">
        <v>8</v>
      </c>
      <c r="K123" s="4">
        <v>0.444444444444444</v>
      </c>
      <c r="L123" s="3">
        <v>12</v>
      </c>
      <c r="M123" s="3">
        <v>5</v>
      </c>
      <c r="N123" s="4">
        <v>0.277777777777778</v>
      </c>
      <c r="O123" s="3">
        <v>6</v>
      </c>
      <c r="P123" s="3">
        <v>3</v>
      </c>
      <c r="Q123" s="4">
        <v>0.166666666666667</v>
      </c>
      <c r="R123" s="3" t="str">
        <f t="shared" si="1"/>
        <v>教学二区</v>
      </c>
    </row>
    <row r="124" spans="1:18">
      <c r="A124" s="1" t="s">
        <v>544</v>
      </c>
      <c r="B124" s="1" t="s">
        <v>44</v>
      </c>
      <c r="C124" s="1" t="s">
        <v>67</v>
      </c>
      <c r="D124" s="1" t="s">
        <v>105</v>
      </c>
      <c r="E124" s="1">
        <v>15422</v>
      </c>
      <c r="F124" s="1" t="s">
        <v>482</v>
      </c>
      <c r="G124" s="2">
        <v>43918</v>
      </c>
      <c r="I124" s="3">
        <v>5</v>
      </c>
      <c r="J124" s="3">
        <v>3</v>
      </c>
      <c r="K124" s="4">
        <v>0.6</v>
      </c>
      <c r="L124" s="3">
        <v>1</v>
      </c>
      <c r="M124" s="3">
        <v>0</v>
      </c>
      <c r="N124" s="4">
        <v>0</v>
      </c>
      <c r="O124" s="3">
        <v>4</v>
      </c>
      <c r="P124" s="3">
        <v>3</v>
      </c>
      <c r="Q124" s="4">
        <v>0.6</v>
      </c>
      <c r="R124" s="3" t="str">
        <f t="shared" si="1"/>
        <v>教学二区</v>
      </c>
    </row>
    <row r="125" spans="1:18">
      <c r="A125" s="1" t="s">
        <v>544</v>
      </c>
      <c r="B125" s="1" t="s">
        <v>44</v>
      </c>
      <c r="C125" s="1" t="s">
        <v>67</v>
      </c>
      <c r="D125" s="1" t="s">
        <v>105</v>
      </c>
      <c r="E125" s="1">
        <v>6577</v>
      </c>
      <c r="F125" s="1" t="s">
        <v>234</v>
      </c>
      <c r="G125" s="2">
        <v>43825</v>
      </c>
      <c r="I125" s="3">
        <v>22</v>
      </c>
      <c r="J125" s="3">
        <v>13</v>
      </c>
      <c r="K125" s="4">
        <v>0.590909090909091</v>
      </c>
      <c r="L125" s="3">
        <v>5</v>
      </c>
      <c r="M125" s="3">
        <v>3</v>
      </c>
      <c r="N125" s="4">
        <v>0.136363636363636</v>
      </c>
      <c r="O125" s="3">
        <v>17</v>
      </c>
      <c r="P125" s="3">
        <v>10</v>
      </c>
      <c r="Q125" s="4">
        <v>0.454545454545455</v>
      </c>
      <c r="R125" s="3" t="str">
        <f t="shared" si="1"/>
        <v>教学二区</v>
      </c>
    </row>
    <row r="126" spans="1:18">
      <c r="A126" s="1" t="s">
        <v>544</v>
      </c>
      <c r="B126" s="1" t="s">
        <v>44</v>
      </c>
      <c r="C126" s="1" t="s">
        <v>67</v>
      </c>
      <c r="D126" s="1" t="s">
        <v>105</v>
      </c>
      <c r="E126" s="1">
        <v>24293</v>
      </c>
      <c r="F126" s="1" t="s">
        <v>650</v>
      </c>
      <c r="G126" s="2">
        <v>44161</v>
      </c>
      <c r="I126" s="3">
        <v>20</v>
      </c>
      <c r="J126" s="3">
        <v>9</v>
      </c>
      <c r="K126" s="4">
        <v>0.45</v>
      </c>
      <c r="L126" s="3">
        <v>15</v>
      </c>
      <c r="M126" s="3">
        <v>6</v>
      </c>
      <c r="N126" s="4">
        <v>0.3</v>
      </c>
      <c r="O126" s="3">
        <v>5</v>
      </c>
      <c r="P126" s="3">
        <v>3</v>
      </c>
      <c r="Q126" s="4">
        <v>0.15</v>
      </c>
      <c r="R126" s="3" t="str">
        <f t="shared" si="1"/>
        <v>教学二区</v>
      </c>
    </row>
    <row r="127" spans="1:18">
      <c r="A127" s="1" t="s">
        <v>544</v>
      </c>
      <c r="B127" s="1" t="s">
        <v>44</v>
      </c>
      <c r="C127" s="1" t="s">
        <v>67</v>
      </c>
      <c r="D127" s="1" t="s">
        <v>105</v>
      </c>
      <c r="E127" s="1">
        <v>23675</v>
      </c>
      <c r="F127" s="1" t="s">
        <v>473</v>
      </c>
      <c r="G127" s="2">
        <v>44147</v>
      </c>
      <c r="I127" s="3">
        <v>1</v>
      </c>
      <c r="J127" s="3">
        <v>1</v>
      </c>
      <c r="K127" s="4">
        <v>1</v>
      </c>
      <c r="L127" s="3">
        <v>0</v>
      </c>
      <c r="M127" s="3">
        <v>0</v>
      </c>
      <c r="N127" s="4">
        <v>0</v>
      </c>
      <c r="O127" s="3">
        <v>1</v>
      </c>
      <c r="P127" s="3">
        <v>1</v>
      </c>
      <c r="Q127" s="4">
        <v>1</v>
      </c>
      <c r="R127" s="3" t="str">
        <f t="shared" si="1"/>
        <v>教学二区</v>
      </c>
    </row>
    <row r="128" spans="1:18">
      <c r="A128" s="1" t="s">
        <v>544</v>
      </c>
      <c r="B128" s="1" t="s">
        <v>44</v>
      </c>
      <c r="C128" s="1" t="s">
        <v>67</v>
      </c>
      <c r="D128" s="1" t="s">
        <v>105</v>
      </c>
      <c r="E128" s="1">
        <v>25914</v>
      </c>
      <c r="F128" s="1" t="s">
        <v>651</v>
      </c>
      <c r="G128" s="2">
        <v>44245</v>
      </c>
      <c r="I128" s="3">
        <v>13</v>
      </c>
      <c r="J128" s="3">
        <v>8</v>
      </c>
      <c r="K128" s="4">
        <v>0.615384615384615</v>
      </c>
      <c r="L128" s="3">
        <v>10</v>
      </c>
      <c r="M128" s="3">
        <v>7</v>
      </c>
      <c r="N128" s="4">
        <v>0.538461538461538</v>
      </c>
      <c r="O128" s="3">
        <v>3</v>
      </c>
      <c r="P128" s="3">
        <v>1</v>
      </c>
      <c r="Q128" s="4">
        <v>0.0769230769230769</v>
      </c>
      <c r="R128" s="3" t="str">
        <f t="shared" si="1"/>
        <v>教学二区</v>
      </c>
    </row>
    <row r="129" spans="1:18">
      <c r="A129" s="1" t="s">
        <v>544</v>
      </c>
      <c r="B129" s="1" t="s">
        <v>44</v>
      </c>
      <c r="C129" s="1" t="s">
        <v>67</v>
      </c>
      <c r="D129" s="1" t="s">
        <v>105</v>
      </c>
      <c r="E129" s="1">
        <v>24974</v>
      </c>
      <c r="F129" s="1" t="s">
        <v>652</v>
      </c>
      <c r="G129" s="2">
        <v>44188</v>
      </c>
      <c r="I129" s="3">
        <v>17</v>
      </c>
      <c r="J129" s="3">
        <v>5</v>
      </c>
      <c r="K129" s="4">
        <v>0.294117647058824</v>
      </c>
      <c r="L129" s="3">
        <v>10</v>
      </c>
      <c r="M129" s="3">
        <v>3</v>
      </c>
      <c r="N129" s="4">
        <v>0.176470588235294</v>
      </c>
      <c r="O129" s="3">
        <v>7</v>
      </c>
      <c r="P129" s="3">
        <v>2</v>
      </c>
      <c r="Q129" s="4">
        <v>0.117647058823529</v>
      </c>
      <c r="R129" s="3" t="str">
        <f t="shared" si="1"/>
        <v>教学二区</v>
      </c>
    </row>
    <row r="130" spans="1:18">
      <c r="A130" s="1" t="s">
        <v>544</v>
      </c>
      <c r="B130" s="1" t="s">
        <v>44</v>
      </c>
      <c r="C130" s="1" t="s">
        <v>67</v>
      </c>
      <c r="D130" s="1" t="s">
        <v>105</v>
      </c>
      <c r="E130" s="1">
        <v>62357</v>
      </c>
      <c r="F130" s="1" t="s">
        <v>170</v>
      </c>
      <c r="G130" s="2">
        <v>44912</v>
      </c>
      <c r="I130" s="3">
        <v>10</v>
      </c>
      <c r="J130" s="3">
        <v>6</v>
      </c>
      <c r="K130" s="4">
        <v>0.6</v>
      </c>
      <c r="L130" s="3">
        <v>1</v>
      </c>
      <c r="M130" s="3">
        <v>1</v>
      </c>
      <c r="N130" s="4">
        <v>0.1</v>
      </c>
      <c r="O130" s="3">
        <v>9</v>
      </c>
      <c r="P130" s="3">
        <v>5</v>
      </c>
      <c r="Q130" s="4">
        <v>0.5</v>
      </c>
      <c r="R130" s="3" t="str">
        <f t="shared" si="1"/>
        <v>教学二区</v>
      </c>
    </row>
    <row r="131" spans="1:18">
      <c r="A131" s="1" t="s">
        <v>544</v>
      </c>
      <c r="B131" s="1" t="s">
        <v>44</v>
      </c>
      <c r="C131" s="1" t="s">
        <v>67</v>
      </c>
      <c r="D131" s="1" t="s">
        <v>105</v>
      </c>
      <c r="E131" s="1">
        <v>26638</v>
      </c>
      <c r="F131" s="1" t="s">
        <v>653</v>
      </c>
      <c r="G131" s="2">
        <v>44294</v>
      </c>
      <c r="I131" s="3">
        <v>26</v>
      </c>
      <c r="J131" s="3">
        <v>12</v>
      </c>
      <c r="K131" s="4">
        <v>0.461538461538462</v>
      </c>
      <c r="L131" s="3">
        <v>16</v>
      </c>
      <c r="M131" s="3">
        <v>7</v>
      </c>
      <c r="N131" s="4">
        <v>0.269230769230769</v>
      </c>
      <c r="O131" s="3">
        <v>10</v>
      </c>
      <c r="P131" s="3">
        <v>5</v>
      </c>
      <c r="Q131" s="4">
        <v>0.192307692307692</v>
      </c>
      <c r="R131" s="3" t="str">
        <f t="shared" ref="R131:R194" si="2">B131</f>
        <v>教学二区</v>
      </c>
    </row>
    <row r="132" spans="1:18">
      <c r="A132" s="1" t="s">
        <v>544</v>
      </c>
      <c r="B132" s="1" t="s">
        <v>44</v>
      </c>
      <c r="C132" s="1" t="s">
        <v>67</v>
      </c>
      <c r="D132" s="1" t="s">
        <v>105</v>
      </c>
      <c r="E132" s="1">
        <v>21845</v>
      </c>
      <c r="F132" s="1" t="s">
        <v>654</v>
      </c>
      <c r="G132" s="2">
        <v>44044</v>
      </c>
      <c r="I132" s="3">
        <v>18</v>
      </c>
      <c r="J132" s="3">
        <v>7</v>
      </c>
      <c r="K132" s="4">
        <v>0.388888888888889</v>
      </c>
      <c r="L132" s="3">
        <v>9</v>
      </c>
      <c r="M132" s="3">
        <v>4</v>
      </c>
      <c r="N132" s="4">
        <v>0.222222222222222</v>
      </c>
      <c r="O132" s="3">
        <v>9</v>
      </c>
      <c r="P132" s="3">
        <v>3</v>
      </c>
      <c r="Q132" s="4">
        <v>0.166666666666667</v>
      </c>
      <c r="R132" s="3" t="str">
        <f t="shared" si="2"/>
        <v>教学二区</v>
      </c>
    </row>
    <row r="133" spans="1:18">
      <c r="A133" s="1" t="s">
        <v>544</v>
      </c>
      <c r="B133" s="1" t="s">
        <v>44</v>
      </c>
      <c r="C133" s="1" t="s">
        <v>67</v>
      </c>
      <c r="D133" s="1" t="s">
        <v>105</v>
      </c>
      <c r="E133" s="1">
        <v>6589</v>
      </c>
      <c r="F133" s="1" t="s">
        <v>655</v>
      </c>
      <c r="G133" s="2">
        <v>43825</v>
      </c>
      <c r="I133" s="3">
        <v>22</v>
      </c>
      <c r="J133" s="3">
        <v>9</v>
      </c>
      <c r="K133" s="4">
        <v>0.409090909090909</v>
      </c>
      <c r="L133" s="3">
        <v>16</v>
      </c>
      <c r="M133" s="3">
        <v>8</v>
      </c>
      <c r="N133" s="4">
        <v>0.363636363636364</v>
      </c>
      <c r="O133" s="3">
        <v>6</v>
      </c>
      <c r="P133" s="3">
        <v>1</v>
      </c>
      <c r="Q133" s="4">
        <v>0.0454545454545455</v>
      </c>
      <c r="R133" s="3" t="str">
        <f t="shared" si="2"/>
        <v>教学二区</v>
      </c>
    </row>
    <row r="134" spans="1:18">
      <c r="A134" s="1" t="s">
        <v>544</v>
      </c>
      <c r="B134" s="1" t="s">
        <v>44</v>
      </c>
      <c r="C134" s="1" t="s">
        <v>67</v>
      </c>
      <c r="D134" s="1" t="s">
        <v>105</v>
      </c>
      <c r="E134" s="1">
        <v>6435</v>
      </c>
      <c r="F134" s="1" t="s">
        <v>656</v>
      </c>
      <c r="G134" s="2">
        <v>43804</v>
      </c>
      <c r="I134" s="3">
        <v>7</v>
      </c>
      <c r="J134" s="3">
        <v>2</v>
      </c>
      <c r="K134" s="4">
        <v>0.285714285714286</v>
      </c>
      <c r="L134" s="3">
        <v>7</v>
      </c>
      <c r="M134" s="3">
        <v>2</v>
      </c>
      <c r="N134" s="4">
        <v>0.285714285714286</v>
      </c>
      <c r="O134" s="3">
        <v>0</v>
      </c>
      <c r="P134" s="3">
        <v>0</v>
      </c>
      <c r="Q134" s="4">
        <v>0</v>
      </c>
      <c r="R134" s="3" t="str">
        <f t="shared" si="2"/>
        <v>教学二区</v>
      </c>
    </row>
    <row r="135" spans="1:18">
      <c r="A135" s="1" t="s">
        <v>544</v>
      </c>
      <c r="B135" s="1" t="s">
        <v>44</v>
      </c>
      <c r="C135" s="1" t="s">
        <v>67</v>
      </c>
      <c r="D135" s="1" t="s">
        <v>105</v>
      </c>
      <c r="E135" s="1">
        <v>53694</v>
      </c>
      <c r="F135" s="1" t="s">
        <v>657</v>
      </c>
      <c r="G135" s="2">
        <v>44525</v>
      </c>
      <c r="I135" s="3">
        <v>13</v>
      </c>
      <c r="J135" s="3">
        <v>6</v>
      </c>
      <c r="K135" s="4">
        <v>0.461538461538462</v>
      </c>
      <c r="L135" s="3">
        <v>7</v>
      </c>
      <c r="M135" s="3">
        <v>2</v>
      </c>
      <c r="N135" s="4">
        <v>0.153846153846154</v>
      </c>
      <c r="O135" s="3">
        <v>6</v>
      </c>
      <c r="P135" s="3">
        <v>4</v>
      </c>
      <c r="Q135" s="4">
        <v>0.307692307692308</v>
      </c>
      <c r="R135" s="3" t="str">
        <f t="shared" si="2"/>
        <v>教学二区</v>
      </c>
    </row>
    <row r="136" spans="1:18">
      <c r="A136" s="1" t="s">
        <v>544</v>
      </c>
      <c r="B136" s="1" t="s">
        <v>44</v>
      </c>
      <c r="C136" s="1" t="s">
        <v>67</v>
      </c>
      <c r="D136" s="1" t="s">
        <v>105</v>
      </c>
      <c r="E136" s="1">
        <v>21576</v>
      </c>
      <c r="F136" s="1" t="s">
        <v>658</v>
      </c>
      <c r="G136" s="2">
        <v>44022</v>
      </c>
      <c r="I136" s="3">
        <v>26</v>
      </c>
      <c r="J136" s="3">
        <v>15</v>
      </c>
      <c r="K136" s="4">
        <v>0.576923076923077</v>
      </c>
      <c r="L136" s="3">
        <v>5</v>
      </c>
      <c r="M136" s="3">
        <v>2</v>
      </c>
      <c r="N136" s="4">
        <v>0.0769230769230769</v>
      </c>
      <c r="O136" s="3">
        <v>21</v>
      </c>
      <c r="P136" s="3">
        <v>13</v>
      </c>
      <c r="Q136" s="4">
        <v>0.5</v>
      </c>
      <c r="R136" s="3" t="str">
        <f t="shared" si="2"/>
        <v>教学二区</v>
      </c>
    </row>
    <row r="137" spans="1:18">
      <c r="A137" s="1" t="s">
        <v>544</v>
      </c>
      <c r="B137" s="1" t="s">
        <v>44</v>
      </c>
      <c r="C137" s="1" t="s">
        <v>67</v>
      </c>
      <c r="D137" s="1" t="s">
        <v>68</v>
      </c>
      <c r="E137" s="1">
        <v>20131</v>
      </c>
      <c r="F137" s="1" t="s">
        <v>265</v>
      </c>
      <c r="G137" s="2">
        <v>43932</v>
      </c>
      <c r="I137" s="3">
        <v>8</v>
      </c>
      <c r="J137" s="3">
        <v>5</v>
      </c>
      <c r="K137" s="4">
        <v>0.625</v>
      </c>
      <c r="L137" s="3">
        <v>3</v>
      </c>
      <c r="M137" s="3">
        <v>1</v>
      </c>
      <c r="N137" s="4">
        <v>0.125</v>
      </c>
      <c r="O137" s="3">
        <v>5</v>
      </c>
      <c r="P137" s="3">
        <v>4</v>
      </c>
      <c r="Q137" s="4">
        <v>0.5</v>
      </c>
      <c r="R137" s="3" t="str">
        <f t="shared" si="2"/>
        <v>教学二区</v>
      </c>
    </row>
    <row r="138" spans="1:18">
      <c r="A138" s="1" t="s">
        <v>544</v>
      </c>
      <c r="B138" s="1" t="s">
        <v>44</v>
      </c>
      <c r="C138" s="1" t="s">
        <v>67</v>
      </c>
      <c r="D138" s="1" t="s">
        <v>68</v>
      </c>
      <c r="E138" s="1">
        <v>61733</v>
      </c>
      <c r="F138" s="1" t="s">
        <v>659</v>
      </c>
      <c r="G138" s="2">
        <v>44834</v>
      </c>
      <c r="I138" s="3">
        <v>26</v>
      </c>
      <c r="J138" s="3">
        <v>17</v>
      </c>
      <c r="K138" s="4">
        <v>0.653846153846154</v>
      </c>
      <c r="L138" s="3">
        <v>0</v>
      </c>
      <c r="M138" s="3">
        <v>0</v>
      </c>
      <c r="N138" s="4">
        <v>0</v>
      </c>
      <c r="O138" s="3">
        <v>26</v>
      </c>
      <c r="P138" s="3">
        <v>17</v>
      </c>
      <c r="Q138" s="4">
        <v>0.653846153846154</v>
      </c>
      <c r="R138" s="3" t="str">
        <f t="shared" si="2"/>
        <v>教学二区</v>
      </c>
    </row>
    <row r="139" spans="1:18">
      <c r="A139" s="1" t="s">
        <v>544</v>
      </c>
      <c r="B139" s="1" t="s">
        <v>44</v>
      </c>
      <c r="C139" s="1" t="s">
        <v>67</v>
      </c>
      <c r="D139" s="1" t="s">
        <v>68</v>
      </c>
      <c r="E139" s="1">
        <v>21206</v>
      </c>
      <c r="F139" s="1" t="s">
        <v>660</v>
      </c>
      <c r="G139" s="2">
        <v>43995</v>
      </c>
      <c r="I139" s="3">
        <v>21</v>
      </c>
      <c r="J139" s="3">
        <v>10</v>
      </c>
      <c r="K139" s="4">
        <v>0.476190476190476</v>
      </c>
      <c r="L139" s="3">
        <v>3</v>
      </c>
      <c r="M139" s="3">
        <v>2</v>
      </c>
      <c r="N139" s="4">
        <v>0.0952380952380952</v>
      </c>
      <c r="O139" s="3">
        <v>18</v>
      </c>
      <c r="P139" s="3">
        <v>8</v>
      </c>
      <c r="Q139" s="4">
        <v>0.380952380952381</v>
      </c>
      <c r="R139" s="3" t="str">
        <f t="shared" si="2"/>
        <v>教学二区</v>
      </c>
    </row>
    <row r="140" spans="1:18">
      <c r="A140" s="1" t="s">
        <v>544</v>
      </c>
      <c r="B140" s="1" t="s">
        <v>44</v>
      </c>
      <c r="C140" s="1" t="s">
        <v>67</v>
      </c>
      <c r="D140" s="1" t="s">
        <v>68</v>
      </c>
      <c r="E140" s="1">
        <v>53334</v>
      </c>
      <c r="F140" s="1" t="s">
        <v>661</v>
      </c>
      <c r="G140" s="2">
        <v>44511</v>
      </c>
      <c r="I140" s="3">
        <v>19</v>
      </c>
      <c r="J140" s="3">
        <v>12</v>
      </c>
      <c r="K140" s="4">
        <v>0.631578947368421</v>
      </c>
      <c r="L140" s="3">
        <v>11</v>
      </c>
      <c r="M140" s="3">
        <v>6</v>
      </c>
      <c r="N140" s="4">
        <v>0.315789473684211</v>
      </c>
      <c r="O140" s="3">
        <v>8</v>
      </c>
      <c r="P140" s="3">
        <v>6</v>
      </c>
      <c r="Q140" s="4">
        <v>0.315789473684211</v>
      </c>
      <c r="R140" s="3" t="str">
        <f t="shared" si="2"/>
        <v>教学二区</v>
      </c>
    </row>
    <row r="141" spans="1:18">
      <c r="A141" s="1" t="s">
        <v>544</v>
      </c>
      <c r="B141" s="1" t="s">
        <v>44</v>
      </c>
      <c r="C141" s="1" t="s">
        <v>67</v>
      </c>
      <c r="D141" s="1" t="s">
        <v>68</v>
      </c>
      <c r="E141" s="1">
        <v>22648</v>
      </c>
      <c r="F141" s="1" t="s">
        <v>662</v>
      </c>
      <c r="G141" s="2">
        <v>44093</v>
      </c>
      <c r="I141" s="3">
        <v>22</v>
      </c>
      <c r="J141" s="3">
        <v>12</v>
      </c>
      <c r="K141" s="4">
        <v>0.545454545454545</v>
      </c>
      <c r="L141" s="3">
        <v>8</v>
      </c>
      <c r="M141" s="3">
        <v>2</v>
      </c>
      <c r="N141" s="4">
        <v>0.0909090909090909</v>
      </c>
      <c r="O141" s="3">
        <v>14</v>
      </c>
      <c r="P141" s="3">
        <v>10</v>
      </c>
      <c r="Q141" s="4">
        <v>0.454545454545455</v>
      </c>
      <c r="R141" s="3" t="str">
        <f t="shared" si="2"/>
        <v>教学二区</v>
      </c>
    </row>
    <row r="142" spans="1:18">
      <c r="A142" s="1" t="s">
        <v>544</v>
      </c>
      <c r="B142" s="1" t="s">
        <v>44</v>
      </c>
      <c r="C142" s="1" t="s">
        <v>67</v>
      </c>
      <c r="D142" s="1" t="s">
        <v>68</v>
      </c>
      <c r="E142" s="1">
        <v>23042</v>
      </c>
      <c r="F142" s="1" t="s">
        <v>663</v>
      </c>
      <c r="G142" s="2">
        <v>44114</v>
      </c>
      <c r="I142" s="3">
        <v>23</v>
      </c>
      <c r="J142" s="3">
        <v>11</v>
      </c>
      <c r="K142" s="4">
        <v>0.478260869565217</v>
      </c>
      <c r="L142" s="3">
        <v>13</v>
      </c>
      <c r="M142" s="3">
        <v>7</v>
      </c>
      <c r="N142" s="4">
        <v>0.304347826086957</v>
      </c>
      <c r="O142" s="3">
        <v>10</v>
      </c>
      <c r="P142" s="3">
        <v>4</v>
      </c>
      <c r="Q142" s="4">
        <v>0.173913043478261</v>
      </c>
      <c r="R142" s="3" t="str">
        <f t="shared" si="2"/>
        <v>教学二区</v>
      </c>
    </row>
    <row r="143" spans="1:18">
      <c r="A143" s="1" t="s">
        <v>544</v>
      </c>
      <c r="B143" s="1" t="s">
        <v>44</v>
      </c>
      <c r="C143" s="1" t="s">
        <v>67</v>
      </c>
      <c r="D143" s="1" t="s">
        <v>68</v>
      </c>
      <c r="E143" s="1">
        <v>26645</v>
      </c>
      <c r="F143" s="1" t="s">
        <v>664</v>
      </c>
      <c r="G143" s="2">
        <v>44294</v>
      </c>
      <c r="I143" s="3">
        <v>15</v>
      </c>
      <c r="J143" s="3">
        <v>3</v>
      </c>
      <c r="K143" s="4">
        <v>0.2</v>
      </c>
      <c r="L143" s="3">
        <v>10</v>
      </c>
      <c r="M143" s="3">
        <v>1</v>
      </c>
      <c r="N143" s="4">
        <v>0.0666666666666667</v>
      </c>
      <c r="O143" s="3">
        <v>5</v>
      </c>
      <c r="P143" s="3">
        <v>2</v>
      </c>
      <c r="Q143" s="4">
        <v>0.133333333333333</v>
      </c>
      <c r="R143" s="3" t="str">
        <f t="shared" si="2"/>
        <v>教学二区</v>
      </c>
    </row>
    <row r="144" spans="1:18">
      <c r="A144" s="1" t="s">
        <v>544</v>
      </c>
      <c r="B144" s="1" t="s">
        <v>44</v>
      </c>
      <c r="C144" s="1" t="s">
        <v>67</v>
      </c>
      <c r="D144" s="1" t="s">
        <v>68</v>
      </c>
      <c r="E144" s="1">
        <v>22263</v>
      </c>
      <c r="F144" s="1" t="s">
        <v>216</v>
      </c>
      <c r="G144" s="2">
        <v>44065</v>
      </c>
      <c r="I144" s="3">
        <v>16</v>
      </c>
      <c r="J144" s="3">
        <v>6</v>
      </c>
      <c r="K144" s="4">
        <v>0.375</v>
      </c>
      <c r="L144" s="3">
        <v>9</v>
      </c>
      <c r="M144" s="3">
        <v>3</v>
      </c>
      <c r="N144" s="4">
        <v>0.1875</v>
      </c>
      <c r="O144" s="3">
        <v>7</v>
      </c>
      <c r="P144" s="3">
        <v>3</v>
      </c>
      <c r="Q144" s="4">
        <v>0.1875</v>
      </c>
      <c r="R144" s="3" t="str">
        <f t="shared" si="2"/>
        <v>教学二区</v>
      </c>
    </row>
    <row r="145" spans="1:18">
      <c r="A145" s="1" t="s">
        <v>544</v>
      </c>
      <c r="B145" s="1" t="s">
        <v>44</v>
      </c>
      <c r="C145" s="1" t="s">
        <v>67</v>
      </c>
      <c r="D145" s="1" t="s">
        <v>68</v>
      </c>
      <c r="E145" s="1">
        <v>20959</v>
      </c>
      <c r="F145" s="1" t="s">
        <v>665</v>
      </c>
      <c r="G145" s="2">
        <v>43973</v>
      </c>
      <c r="I145" s="3">
        <v>24</v>
      </c>
      <c r="J145" s="3">
        <v>6</v>
      </c>
      <c r="K145" s="4">
        <v>0.25</v>
      </c>
      <c r="L145" s="3">
        <v>15</v>
      </c>
      <c r="M145" s="3">
        <v>3</v>
      </c>
      <c r="N145" s="4">
        <v>0.125</v>
      </c>
      <c r="O145" s="3">
        <v>9</v>
      </c>
      <c r="P145" s="3">
        <v>3</v>
      </c>
      <c r="Q145" s="4">
        <v>0.125</v>
      </c>
      <c r="R145" s="3" t="str">
        <f t="shared" si="2"/>
        <v>教学二区</v>
      </c>
    </row>
    <row r="146" spans="1:18">
      <c r="A146" s="1" t="s">
        <v>544</v>
      </c>
      <c r="B146" s="1" t="s">
        <v>44</v>
      </c>
      <c r="C146" s="1" t="s">
        <v>67</v>
      </c>
      <c r="D146" s="1" t="s">
        <v>68</v>
      </c>
      <c r="E146" s="1">
        <v>26357</v>
      </c>
      <c r="F146" s="1" t="s">
        <v>69</v>
      </c>
      <c r="G146" s="2">
        <v>44287</v>
      </c>
      <c r="I146" s="3">
        <v>20</v>
      </c>
      <c r="J146" s="3">
        <v>14</v>
      </c>
      <c r="K146" s="4">
        <v>0.7</v>
      </c>
      <c r="L146" s="3">
        <v>8</v>
      </c>
      <c r="M146" s="3">
        <v>6</v>
      </c>
      <c r="N146" s="4">
        <v>0.3</v>
      </c>
      <c r="O146" s="3">
        <v>12</v>
      </c>
      <c r="P146" s="3">
        <v>8</v>
      </c>
      <c r="Q146" s="4">
        <v>0.4</v>
      </c>
      <c r="R146" s="3" t="str">
        <f t="shared" si="2"/>
        <v>教学二区</v>
      </c>
    </row>
    <row r="147" spans="1:18">
      <c r="A147" s="1" t="s">
        <v>544</v>
      </c>
      <c r="B147" s="1" t="s">
        <v>44</v>
      </c>
      <c r="C147" s="1" t="s">
        <v>67</v>
      </c>
      <c r="D147" s="1" t="s">
        <v>68</v>
      </c>
      <c r="E147" s="1">
        <v>25910</v>
      </c>
      <c r="F147" s="1" t="s">
        <v>666</v>
      </c>
      <c r="G147" s="2">
        <v>44245</v>
      </c>
      <c r="I147" s="3">
        <v>20</v>
      </c>
      <c r="J147" s="3">
        <v>13</v>
      </c>
      <c r="K147" s="4">
        <v>0.65</v>
      </c>
      <c r="L147" s="3">
        <v>11</v>
      </c>
      <c r="M147" s="3">
        <v>6</v>
      </c>
      <c r="N147" s="4">
        <v>0.3</v>
      </c>
      <c r="O147" s="3">
        <v>9</v>
      </c>
      <c r="P147" s="3">
        <v>7</v>
      </c>
      <c r="Q147" s="4">
        <v>0.35</v>
      </c>
      <c r="R147" s="3" t="str">
        <f t="shared" si="2"/>
        <v>教学二区</v>
      </c>
    </row>
    <row r="148" spans="1:18">
      <c r="A148" s="1" t="s">
        <v>544</v>
      </c>
      <c r="B148" s="1" t="s">
        <v>44</v>
      </c>
      <c r="C148" s="1" t="s">
        <v>67</v>
      </c>
      <c r="D148" s="1" t="s">
        <v>68</v>
      </c>
      <c r="E148" s="1">
        <v>50717</v>
      </c>
      <c r="F148" s="1" t="s">
        <v>667</v>
      </c>
      <c r="G148" s="2">
        <v>44315</v>
      </c>
      <c r="I148" s="3">
        <v>22</v>
      </c>
      <c r="J148" s="3">
        <v>12</v>
      </c>
      <c r="K148" s="4">
        <v>0.545454545454545</v>
      </c>
      <c r="L148" s="3">
        <v>19</v>
      </c>
      <c r="M148" s="3">
        <v>10</v>
      </c>
      <c r="N148" s="4">
        <v>0.454545454545455</v>
      </c>
      <c r="O148" s="3">
        <v>3</v>
      </c>
      <c r="P148" s="3">
        <v>2</v>
      </c>
      <c r="Q148" s="4">
        <v>0.0909090909090909</v>
      </c>
      <c r="R148" s="3" t="str">
        <f t="shared" si="2"/>
        <v>教学二区</v>
      </c>
    </row>
    <row r="149" spans="1:18">
      <c r="A149" s="1" t="s">
        <v>544</v>
      </c>
      <c r="B149" s="1" t="s">
        <v>29</v>
      </c>
      <c r="C149" s="1" t="s">
        <v>51</v>
      </c>
      <c r="D149" s="1" t="s">
        <v>92</v>
      </c>
      <c r="E149" s="1">
        <v>22512</v>
      </c>
      <c r="F149" s="1" t="s">
        <v>668</v>
      </c>
      <c r="G149" s="2">
        <v>44086</v>
      </c>
      <c r="I149" s="3">
        <v>18</v>
      </c>
      <c r="J149" s="3">
        <v>7</v>
      </c>
      <c r="K149" s="4">
        <v>0.388888888888889</v>
      </c>
      <c r="L149" s="3">
        <v>13</v>
      </c>
      <c r="M149" s="3">
        <v>6</v>
      </c>
      <c r="N149" s="4">
        <v>0.333333333333333</v>
      </c>
      <c r="O149" s="3">
        <v>5</v>
      </c>
      <c r="P149" s="3">
        <v>1</v>
      </c>
      <c r="Q149" s="4">
        <v>0.0555555555555556</v>
      </c>
      <c r="R149" s="3" t="str">
        <f t="shared" si="2"/>
        <v>教学一区</v>
      </c>
    </row>
    <row r="150" spans="1:18">
      <c r="A150" s="1" t="s">
        <v>544</v>
      </c>
      <c r="B150" s="1" t="s">
        <v>29</v>
      </c>
      <c r="C150" s="1" t="s">
        <v>51</v>
      </c>
      <c r="D150" s="1" t="s">
        <v>92</v>
      </c>
      <c r="E150" s="1">
        <v>62630</v>
      </c>
      <c r="F150" s="1" t="s">
        <v>669</v>
      </c>
      <c r="G150" s="2">
        <v>44981</v>
      </c>
      <c r="I150" s="3">
        <v>11</v>
      </c>
      <c r="J150" s="3">
        <v>6</v>
      </c>
      <c r="K150" s="4">
        <v>0.545454545454545</v>
      </c>
      <c r="L150" s="3">
        <v>6</v>
      </c>
      <c r="M150" s="3">
        <v>3</v>
      </c>
      <c r="N150" s="4">
        <v>0.272727272727273</v>
      </c>
      <c r="O150" s="3">
        <v>5</v>
      </c>
      <c r="P150" s="3">
        <v>3</v>
      </c>
      <c r="Q150" s="4">
        <v>0.272727272727273</v>
      </c>
      <c r="R150" s="3" t="str">
        <f t="shared" si="2"/>
        <v>教学一区</v>
      </c>
    </row>
    <row r="151" spans="1:18">
      <c r="A151" s="1" t="s">
        <v>544</v>
      </c>
      <c r="B151" s="1" t="s">
        <v>29</v>
      </c>
      <c r="C151" s="1" t="s">
        <v>51</v>
      </c>
      <c r="D151" s="1" t="s">
        <v>92</v>
      </c>
      <c r="E151" s="1">
        <v>51699</v>
      </c>
      <c r="F151" s="1" t="s">
        <v>115</v>
      </c>
      <c r="G151" s="2">
        <v>44371</v>
      </c>
      <c r="I151" s="3">
        <v>21</v>
      </c>
      <c r="J151" s="3">
        <v>11</v>
      </c>
      <c r="K151" s="4">
        <v>0.523809523809524</v>
      </c>
      <c r="L151" s="3">
        <v>15</v>
      </c>
      <c r="M151" s="3">
        <v>7</v>
      </c>
      <c r="N151" s="4">
        <v>0.333333333333333</v>
      </c>
      <c r="O151" s="3">
        <v>6</v>
      </c>
      <c r="P151" s="3">
        <v>4</v>
      </c>
      <c r="Q151" s="4">
        <v>0.19047619047619</v>
      </c>
      <c r="R151" s="3" t="str">
        <f t="shared" si="2"/>
        <v>教学一区</v>
      </c>
    </row>
    <row r="152" spans="1:18">
      <c r="A152" s="1" t="s">
        <v>544</v>
      </c>
      <c r="B152" s="1" t="s">
        <v>29</v>
      </c>
      <c r="C152" s="1" t="s">
        <v>51</v>
      </c>
      <c r="D152" s="1" t="s">
        <v>92</v>
      </c>
      <c r="E152" s="1">
        <v>22515</v>
      </c>
      <c r="F152" s="1" t="s">
        <v>670</v>
      </c>
      <c r="G152" s="2">
        <v>44981</v>
      </c>
      <c r="I152" s="3">
        <v>13</v>
      </c>
      <c r="J152" s="3">
        <v>7</v>
      </c>
      <c r="K152" s="4">
        <v>0.538461538461538</v>
      </c>
      <c r="L152" s="3">
        <v>3</v>
      </c>
      <c r="M152" s="3">
        <v>3</v>
      </c>
      <c r="N152" s="4">
        <v>0.230769230769231</v>
      </c>
      <c r="O152" s="3">
        <v>10</v>
      </c>
      <c r="P152" s="3">
        <v>4</v>
      </c>
      <c r="Q152" s="4">
        <v>0.307692307692308</v>
      </c>
      <c r="R152" s="3" t="str">
        <f t="shared" si="2"/>
        <v>教学一区</v>
      </c>
    </row>
    <row r="153" spans="1:18">
      <c r="A153" s="1" t="s">
        <v>544</v>
      </c>
      <c r="B153" s="1" t="s">
        <v>29</v>
      </c>
      <c r="C153" s="1" t="s">
        <v>51</v>
      </c>
      <c r="D153" s="1" t="s">
        <v>92</v>
      </c>
      <c r="E153" s="1">
        <v>22409</v>
      </c>
      <c r="F153" s="1" t="s">
        <v>671</v>
      </c>
      <c r="G153" s="2">
        <v>44079</v>
      </c>
      <c r="I153" s="3">
        <v>17</v>
      </c>
      <c r="J153" s="3">
        <v>10</v>
      </c>
      <c r="K153" s="4">
        <v>0.588235294117647</v>
      </c>
      <c r="L153" s="3">
        <v>11</v>
      </c>
      <c r="M153" s="3">
        <v>8</v>
      </c>
      <c r="N153" s="4">
        <v>0.470588235294118</v>
      </c>
      <c r="O153" s="3">
        <v>6</v>
      </c>
      <c r="P153" s="3">
        <v>2</v>
      </c>
      <c r="Q153" s="4">
        <v>0.117647058823529</v>
      </c>
      <c r="R153" s="3" t="str">
        <f t="shared" si="2"/>
        <v>教学一区</v>
      </c>
    </row>
    <row r="154" spans="1:18">
      <c r="A154" s="1" t="s">
        <v>544</v>
      </c>
      <c r="B154" s="1" t="s">
        <v>29</v>
      </c>
      <c r="C154" s="1" t="s">
        <v>51</v>
      </c>
      <c r="D154" s="1" t="s">
        <v>92</v>
      </c>
      <c r="E154" s="1">
        <v>21837</v>
      </c>
      <c r="F154" s="1" t="s">
        <v>672</v>
      </c>
      <c r="G154" s="2">
        <v>44044</v>
      </c>
      <c r="I154" s="3">
        <v>17</v>
      </c>
      <c r="J154" s="3">
        <v>4</v>
      </c>
      <c r="K154" s="4">
        <v>0.235294117647059</v>
      </c>
      <c r="L154" s="3">
        <v>12</v>
      </c>
      <c r="M154" s="3">
        <v>4</v>
      </c>
      <c r="N154" s="4">
        <v>0.235294117647059</v>
      </c>
      <c r="O154" s="3">
        <v>5</v>
      </c>
      <c r="P154" s="3">
        <v>0</v>
      </c>
      <c r="Q154" s="4">
        <v>0</v>
      </c>
      <c r="R154" s="3" t="str">
        <f t="shared" si="2"/>
        <v>教学一区</v>
      </c>
    </row>
    <row r="155" spans="1:18">
      <c r="A155" s="1" t="s">
        <v>544</v>
      </c>
      <c r="B155" s="1" t="s">
        <v>29</v>
      </c>
      <c r="C155" s="1" t="s">
        <v>51</v>
      </c>
      <c r="D155" s="1" t="s">
        <v>92</v>
      </c>
      <c r="E155" s="1">
        <v>61990</v>
      </c>
      <c r="F155" s="1" t="s">
        <v>673</v>
      </c>
      <c r="G155" s="2">
        <v>44867</v>
      </c>
      <c r="I155" s="3">
        <v>24</v>
      </c>
      <c r="J155" s="3">
        <v>15</v>
      </c>
      <c r="K155" s="4">
        <v>0.625</v>
      </c>
      <c r="L155" s="3">
        <v>18</v>
      </c>
      <c r="M155" s="3">
        <v>10</v>
      </c>
      <c r="N155" s="4">
        <v>0.416666666666667</v>
      </c>
      <c r="O155" s="3">
        <v>6</v>
      </c>
      <c r="P155" s="3">
        <v>5</v>
      </c>
      <c r="Q155" s="4">
        <v>0.208333333333333</v>
      </c>
      <c r="R155" s="3" t="str">
        <f t="shared" si="2"/>
        <v>教学一区</v>
      </c>
    </row>
    <row r="156" spans="1:18">
      <c r="A156" s="1" t="s">
        <v>544</v>
      </c>
      <c r="B156" s="1" t="s">
        <v>29</v>
      </c>
      <c r="C156" s="1" t="s">
        <v>51</v>
      </c>
      <c r="D156" s="1" t="s">
        <v>92</v>
      </c>
      <c r="E156" s="1">
        <v>4913</v>
      </c>
      <c r="F156" s="1" t="s">
        <v>674</v>
      </c>
      <c r="G156" s="2">
        <v>43734</v>
      </c>
      <c r="I156" s="3">
        <v>25</v>
      </c>
      <c r="J156" s="3">
        <v>10</v>
      </c>
      <c r="K156" s="4">
        <v>0.4</v>
      </c>
      <c r="L156" s="3">
        <v>16</v>
      </c>
      <c r="M156" s="3">
        <v>7</v>
      </c>
      <c r="N156" s="4">
        <v>0.28</v>
      </c>
      <c r="O156" s="3">
        <v>9</v>
      </c>
      <c r="P156" s="3">
        <v>3</v>
      </c>
      <c r="Q156" s="4">
        <v>0.12</v>
      </c>
      <c r="R156" s="3" t="str">
        <f t="shared" si="2"/>
        <v>教学一区</v>
      </c>
    </row>
    <row r="157" spans="1:18">
      <c r="A157" s="1" t="s">
        <v>544</v>
      </c>
      <c r="B157" s="1" t="s">
        <v>29</v>
      </c>
      <c r="C157" s="1" t="s">
        <v>51</v>
      </c>
      <c r="D157" s="1" t="s">
        <v>92</v>
      </c>
      <c r="E157" s="1">
        <v>51697</v>
      </c>
      <c r="F157" s="1" t="s">
        <v>93</v>
      </c>
      <c r="G157" s="2">
        <v>44371</v>
      </c>
      <c r="I157" s="3">
        <v>5</v>
      </c>
      <c r="J157" s="3">
        <v>5</v>
      </c>
      <c r="K157" s="4">
        <v>1</v>
      </c>
      <c r="L157" s="3">
        <v>2</v>
      </c>
      <c r="M157" s="3">
        <v>2</v>
      </c>
      <c r="N157" s="4">
        <v>0.4</v>
      </c>
      <c r="O157" s="3">
        <v>3</v>
      </c>
      <c r="P157" s="3">
        <v>3</v>
      </c>
      <c r="Q157" s="4">
        <v>0.6</v>
      </c>
      <c r="R157" s="3" t="str">
        <f t="shared" si="2"/>
        <v>教学一区</v>
      </c>
    </row>
    <row r="158" spans="1:18">
      <c r="A158" s="1" t="s">
        <v>544</v>
      </c>
      <c r="B158" s="1" t="s">
        <v>29</v>
      </c>
      <c r="C158" s="1" t="s">
        <v>51</v>
      </c>
      <c r="D158" s="1" t="s">
        <v>92</v>
      </c>
      <c r="E158" s="1">
        <v>21226</v>
      </c>
      <c r="F158" s="1" t="s">
        <v>467</v>
      </c>
      <c r="G158" s="2">
        <v>43995</v>
      </c>
      <c r="I158" s="3">
        <v>5</v>
      </c>
      <c r="J158" s="3">
        <v>5</v>
      </c>
      <c r="K158" s="4">
        <v>1</v>
      </c>
      <c r="L158" s="3">
        <v>5</v>
      </c>
      <c r="M158" s="3">
        <v>5</v>
      </c>
      <c r="N158" s="4">
        <v>1</v>
      </c>
      <c r="O158" s="3">
        <v>0</v>
      </c>
      <c r="P158" s="3">
        <v>0</v>
      </c>
      <c r="Q158" s="4">
        <v>0</v>
      </c>
      <c r="R158" s="3" t="str">
        <f t="shared" si="2"/>
        <v>教学一区</v>
      </c>
    </row>
    <row r="159" spans="1:18">
      <c r="A159" s="1" t="s">
        <v>544</v>
      </c>
      <c r="B159" s="1" t="s">
        <v>29</v>
      </c>
      <c r="C159" s="1" t="s">
        <v>51</v>
      </c>
      <c r="D159" s="1" t="s">
        <v>92</v>
      </c>
      <c r="E159" s="1">
        <v>26170</v>
      </c>
      <c r="F159" s="1" t="s">
        <v>675</v>
      </c>
      <c r="G159" s="2">
        <v>44278</v>
      </c>
      <c r="I159" s="3">
        <v>22</v>
      </c>
      <c r="J159" s="3">
        <v>12</v>
      </c>
      <c r="K159" s="4">
        <v>0.545454545454545</v>
      </c>
      <c r="L159" s="3">
        <v>20</v>
      </c>
      <c r="M159" s="3">
        <v>10</v>
      </c>
      <c r="N159" s="4">
        <v>0.454545454545455</v>
      </c>
      <c r="O159" s="3">
        <v>2</v>
      </c>
      <c r="P159" s="3">
        <v>2</v>
      </c>
      <c r="Q159" s="4">
        <v>0.0909090909090909</v>
      </c>
      <c r="R159" s="3" t="str">
        <f t="shared" si="2"/>
        <v>教学一区</v>
      </c>
    </row>
    <row r="160" spans="1:18">
      <c r="A160" s="1" t="s">
        <v>544</v>
      </c>
      <c r="B160" s="1" t="s">
        <v>29</v>
      </c>
      <c r="C160" s="1" t="s">
        <v>51</v>
      </c>
      <c r="D160" s="1" t="s">
        <v>52</v>
      </c>
      <c r="E160" s="1">
        <v>21480</v>
      </c>
      <c r="F160" s="1" t="s">
        <v>676</v>
      </c>
      <c r="G160" s="2">
        <v>44015</v>
      </c>
      <c r="I160" s="3">
        <v>22</v>
      </c>
      <c r="J160" s="3">
        <v>11</v>
      </c>
      <c r="K160" s="4">
        <v>0.5</v>
      </c>
      <c r="L160" s="3">
        <v>13</v>
      </c>
      <c r="M160" s="3">
        <v>4</v>
      </c>
      <c r="N160" s="4">
        <v>0.181818181818182</v>
      </c>
      <c r="O160" s="3">
        <v>9</v>
      </c>
      <c r="P160" s="3">
        <v>7</v>
      </c>
      <c r="Q160" s="4">
        <v>0.318181818181818</v>
      </c>
      <c r="R160" s="3" t="str">
        <f t="shared" si="2"/>
        <v>教学一区</v>
      </c>
    </row>
    <row r="161" spans="1:18">
      <c r="A161" s="1" t="s">
        <v>544</v>
      </c>
      <c r="B161" s="1" t="s">
        <v>29</v>
      </c>
      <c r="C161" s="1" t="s">
        <v>51</v>
      </c>
      <c r="D161" s="1" t="s">
        <v>52</v>
      </c>
      <c r="E161" s="1">
        <v>62180</v>
      </c>
      <c r="F161" s="1" t="s">
        <v>56</v>
      </c>
      <c r="G161" s="2">
        <v>44882</v>
      </c>
      <c r="I161" s="3">
        <v>22</v>
      </c>
      <c r="J161" s="3">
        <v>17</v>
      </c>
      <c r="K161" s="4">
        <v>0.772727272727273</v>
      </c>
      <c r="L161" s="3">
        <v>15</v>
      </c>
      <c r="M161" s="3">
        <v>10</v>
      </c>
      <c r="N161" s="4">
        <v>0.454545454545455</v>
      </c>
      <c r="O161" s="3">
        <v>7</v>
      </c>
      <c r="P161" s="3">
        <v>7</v>
      </c>
      <c r="Q161" s="4">
        <v>0.318181818181818</v>
      </c>
      <c r="R161" s="3" t="str">
        <f t="shared" si="2"/>
        <v>教学一区</v>
      </c>
    </row>
    <row r="162" spans="1:18">
      <c r="A162" s="1" t="s">
        <v>544</v>
      </c>
      <c r="B162" s="1" t="s">
        <v>29</v>
      </c>
      <c r="C162" s="1" t="s">
        <v>51</v>
      </c>
      <c r="D162" s="1" t="s">
        <v>52</v>
      </c>
      <c r="E162" s="1">
        <v>25708</v>
      </c>
      <c r="F162" s="1" t="s">
        <v>53</v>
      </c>
      <c r="G162" s="2">
        <v>44867</v>
      </c>
      <c r="I162" s="3">
        <v>5</v>
      </c>
      <c r="J162" s="3">
        <v>4</v>
      </c>
      <c r="K162" s="4">
        <v>0.8</v>
      </c>
      <c r="L162" s="3">
        <v>2</v>
      </c>
      <c r="M162" s="3">
        <v>1</v>
      </c>
      <c r="N162" s="4">
        <v>0.2</v>
      </c>
      <c r="O162" s="3">
        <v>3</v>
      </c>
      <c r="P162" s="3">
        <v>3</v>
      </c>
      <c r="Q162" s="4">
        <v>0.6</v>
      </c>
      <c r="R162" s="3" t="str">
        <f t="shared" si="2"/>
        <v>教学一区</v>
      </c>
    </row>
    <row r="163" spans="1:18">
      <c r="A163" s="1" t="s">
        <v>544</v>
      </c>
      <c r="B163" s="1" t="s">
        <v>29</v>
      </c>
      <c r="C163" s="1" t="s">
        <v>51</v>
      </c>
      <c r="D163" s="1" t="s">
        <v>52</v>
      </c>
      <c r="E163" s="1">
        <v>25323</v>
      </c>
      <c r="F163" s="1" t="s">
        <v>677</v>
      </c>
      <c r="G163" s="2">
        <v>44210</v>
      </c>
      <c r="I163" s="3">
        <v>13</v>
      </c>
      <c r="J163" s="3">
        <v>6</v>
      </c>
      <c r="K163" s="4">
        <v>0.461538461538462</v>
      </c>
      <c r="L163" s="3">
        <v>8</v>
      </c>
      <c r="M163" s="3">
        <v>5</v>
      </c>
      <c r="N163" s="4">
        <v>0.384615384615385</v>
      </c>
      <c r="O163" s="3">
        <v>5</v>
      </c>
      <c r="P163" s="3">
        <v>1</v>
      </c>
      <c r="Q163" s="4">
        <v>0.0769230769230769</v>
      </c>
      <c r="R163" s="3" t="str">
        <f t="shared" si="2"/>
        <v>教学一区</v>
      </c>
    </row>
    <row r="164" spans="1:18">
      <c r="A164" s="1" t="s">
        <v>544</v>
      </c>
      <c r="B164" s="1" t="s">
        <v>29</v>
      </c>
      <c r="C164" s="1" t="s">
        <v>51</v>
      </c>
      <c r="D164" s="1" t="s">
        <v>52</v>
      </c>
      <c r="E164" s="1">
        <v>25085</v>
      </c>
      <c r="F164" s="1" t="s">
        <v>678</v>
      </c>
      <c r="G164" s="2">
        <v>44195</v>
      </c>
      <c r="I164" s="3">
        <v>18</v>
      </c>
      <c r="J164" s="3">
        <v>7</v>
      </c>
      <c r="K164" s="4">
        <v>0.388888888888889</v>
      </c>
      <c r="L164" s="3">
        <v>8</v>
      </c>
      <c r="M164" s="3">
        <v>3</v>
      </c>
      <c r="N164" s="4">
        <v>0.166666666666667</v>
      </c>
      <c r="O164" s="3">
        <v>10</v>
      </c>
      <c r="P164" s="3">
        <v>4</v>
      </c>
      <c r="Q164" s="4">
        <v>0.222222222222222</v>
      </c>
      <c r="R164" s="3" t="str">
        <f t="shared" si="2"/>
        <v>教学一区</v>
      </c>
    </row>
    <row r="165" spans="1:18">
      <c r="A165" s="1" t="s">
        <v>544</v>
      </c>
      <c r="B165" s="1" t="s">
        <v>29</v>
      </c>
      <c r="C165" s="1" t="s">
        <v>51</v>
      </c>
      <c r="D165" s="1" t="s">
        <v>52</v>
      </c>
      <c r="E165" s="1">
        <v>62763</v>
      </c>
      <c r="F165" s="1" t="s">
        <v>100</v>
      </c>
      <c r="G165" s="2">
        <v>44996</v>
      </c>
      <c r="I165" s="3">
        <v>19</v>
      </c>
      <c r="J165" s="3">
        <v>10</v>
      </c>
      <c r="K165" s="4">
        <v>0.526315789473684</v>
      </c>
      <c r="L165" s="3">
        <v>14</v>
      </c>
      <c r="M165" s="3">
        <v>7</v>
      </c>
      <c r="N165" s="4">
        <v>0.368421052631579</v>
      </c>
      <c r="O165" s="3">
        <v>5</v>
      </c>
      <c r="P165" s="3">
        <v>3</v>
      </c>
      <c r="Q165" s="4">
        <v>0.157894736842105</v>
      </c>
      <c r="R165" s="3" t="str">
        <f t="shared" si="2"/>
        <v>教学一区</v>
      </c>
    </row>
    <row r="166" spans="1:18">
      <c r="A166" s="1" t="s">
        <v>544</v>
      </c>
      <c r="B166" s="1" t="s">
        <v>29</v>
      </c>
      <c r="C166" s="1" t="s">
        <v>51</v>
      </c>
      <c r="D166" s="1" t="s">
        <v>52</v>
      </c>
      <c r="E166" s="1">
        <v>69299</v>
      </c>
      <c r="F166" s="1" t="s">
        <v>679</v>
      </c>
      <c r="G166" s="2">
        <v>45283</v>
      </c>
      <c r="I166" s="3">
        <v>8</v>
      </c>
      <c r="J166" s="3">
        <v>5</v>
      </c>
      <c r="K166" s="4">
        <v>0.625</v>
      </c>
      <c r="L166" s="3">
        <v>3</v>
      </c>
      <c r="M166" s="3">
        <v>3</v>
      </c>
      <c r="N166" s="4">
        <v>0.375</v>
      </c>
      <c r="O166" s="3">
        <v>5</v>
      </c>
      <c r="P166" s="3">
        <v>2</v>
      </c>
      <c r="Q166" s="4">
        <v>0.25</v>
      </c>
      <c r="R166" s="3" t="str">
        <f t="shared" si="2"/>
        <v>教学一区</v>
      </c>
    </row>
    <row r="167" spans="1:18">
      <c r="A167" s="1" t="s">
        <v>544</v>
      </c>
      <c r="B167" s="1" t="s">
        <v>29</v>
      </c>
      <c r="C167" s="1" t="s">
        <v>51</v>
      </c>
      <c r="D167" s="1" t="s">
        <v>52</v>
      </c>
      <c r="E167" s="1">
        <v>24688</v>
      </c>
      <c r="F167" s="1" t="s">
        <v>680</v>
      </c>
      <c r="G167" s="2">
        <v>44174</v>
      </c>
      <c r="I167" s="3">
        <v>22</v>
      </c>
      <c r="J167" s="3">
        <v>14</v>
      </c>
      <c r="K167" s="4">
        <v>0.636363636363636</v>
      </c>
      <c r="L167" s="3">
        <v>15</v>
      </c>
      <c r="M167" s="3">
        <v>9</v>
      </c>
      <c r="N167" s="4">
        <v>0.409090909090909</v>
      </c>
      <c r="O167" s="3">
        <v>7</v>
      </c>
      <c r="P167" s="3">
        <v>5</v>
      </c>
      <c r="Q167" s="4">
        <v>0.227272727272727</v>
      </c>
      <c r="R167" s="3" t="str">
        <f t="shared" si="2"/>
        <v>教学一区</v>
      </c>
    </row>
    <row r="168" spans="1:18">
      <c r="A168" s="1" t="s">
        <v>544</v>
      </c>
      <c r="B168" s="1" t="s">
        <v>29</v>
      </c>
      <c r="C168" s="1" t="s">
        <v>51</v>
      </c>
      <c r="D168" s="1" t="s">
        <v>52</v>
      </c>
      <c r="E168" s="1">
        <v>26698</v>
      </c>
      <c r="F168" s="1" t="s">
        <v>681</v>
      </c>
      <c r="G168" s="2">
        <v>44294</v>
      </c>
      <c r="I168" s="3">
        <v>19</v>
      </c>
      <c r="J168" s="3">
        <v>10</v>
      </c>
      <c r="K168" s="4">
        <v>0.526315789473684</v>
      </c>
      <c r="L168" s="3">
        <v>12</v>
      </c>
      <c r="M168" s="3">
        <v>7</v>
      </c>
      <c r="N168" s="4">
        <v>0.368421052631579</v>
      </c>
      <c r="O168" s="3">
        <v>7</v>
      </c>
      <c r="P168" s="3">
        <v>3</v>
      </c>
      <c r="Q168" s="4">
        <v>0.157894736842105</v>
      </c>
      <c r="R168" s="3" t="str">
        <f t="shared" si="2"/>
        <v>教学一区</v>
      </c>
    </row>
    <row r="169" spans="1:18">
      <c r="A169" s="1" t="s">
        <v>544</v>
      </c>
      <c r="B169" s="1" t="s">
        <v>29</v>
      </c>
      <c r="C169" s="1" t="s">
        <v>51</v>
      </c>
      <c r="D169" s="1" t="s">
        <v>52</v>
      </c>
      <c r="E169" s="1">
        <v>51701</v>
      </c>
      <c r="F169" s="1" t="s">
        <v>682</v>
      </c>
      <c r="G169" s="2">
        <v>44371</v>
      </c>
      <c r="I169" s="3">
        <v>18</v>
      </c>
      <c r="J169" s="3">
        <v>8</v>
      </c>
      <c r="K169" s="4">
        <v>0.444444444444444</v>
      </c>
      <c r="L169" s="3">
        <v>9</v>
      </c>
      <c r="M169" s="3">
        <v>5</v>
      </c>
      <c r="N169" s="4">
        <v>0.277777777777778</v>
      </c>
      <c r="O169" s="3">
        <v>9</v>
      </c>
      <c r="P169" s="3">
        <v>3</v>
      </c>
      <c r="Q169" s="4">
        <v>0.166666666666667</v>
      </c>
      <c r="R169" s="3" t="str">
        <f t="shared" si="2"/>
        <v>教学一区</v>
      </c>
    </row>
    <row r="170" spans="1:18">
      <c r="A170" s="1" t="s">
        <v>544</v>
      </c>
      <c r="B170" s="1" t="s">
        <v>29</v>
      </c>
      <c r="C170" s="1" t="s">
        <v>51</v>
      </c>
      <c r="D170" s="1" t="s">
        <v>52</v>
      </c>
      <c r="E170" s="1">
        <v>51075</v>
      </c>
      <c r="F170" s="1" t="s">
        <v>683</v>
      </c>
      <c r="G170" s="2">
        <v>44328</v>
      </c>
      <c r="I170" s="3">
        <v>16</v>
      </c>
      <c r="J170" s="3">
        <v>6</v>
      </c>
      <c r="K170" s="4">
        <v>0.375</v>
      </c>
      <c r="L170" s="3">
        <v>12</v>
      </c>
      <c r="M170" s="3">
        <v>5</v>
      </c>
      <c r="N170" s="4">
        <v>0.3125</v>
      </c>
      <c r="O170" s="3">
        <v>4</v>
      </c>
      <c r="P170" s="3">
        <v>1</v>
      </c>
      <c r="Q170" s="4">
        <v>0.0625</v>
      </c>
      <c r="R170" s="3" t="str">
        <f t="shared" si="2"/>
        <v>教学一区</v>
      </c>
    </row>
    <row r="171" spans="1:18">
      <c r="A171" s="1" t="s">
        <v>544</v>
      </c>
      <c r="B171" s="1" t="s">
        <v>29</v>
      </c>
      <c r="C171" s="1" t="s">
        <v>51</v>
      </c>
      <c r="D171" s="1" t="s">
        <v>52</v>
      </c>
      <c r="E171" s="1">
        <v>23220</v>
      </c>
      <c r="F171" s="1" t="s">
        <v>60</v>
      </c>
      <c r="G171" s="2">
        <v>44120</v>
      </c>
      <c r="I171" s="3">
        <v>12</v>
      </c>
      <c r="J171" s="3">
        <v>9</v>
      </c>
      <c r="K171" s="4">
        <v>0.75</v>
      </c>
      <c r="L171" s="3">
        <v>4</v>
      </c>
      <c r="M171" s="3">
        <v>3</v>
      </c>
      <c r="N171" s="4">
        <v>0.25</v>
      </c>
      <c r="O171" s="3">
        <v>8</v>
      </c>
      <c r="P171" s="3">
        <v>6</v>
      </c>
      <c r="Q171" s="4">
        <v>0.5</v>
      </c>
      <c r="R171" s="3" t="str">
        <f t="shared" si="2"/>
        <v>教学一区</v>
      </c>
    </row>
    <row r="172" spans="1:18">
      <c r="A172" s="1" t="s">
        <v>544</v>
      </c>
      <c r="B172" s="1" t="s">
        <v>29</v>
      </c>
      <c r="C172" s="1" t="s">
        <v>51</v>
      </c>
      <c r="D172" s="1" t="s">
        <v>52</v>
      </c>
      <c r="E172" s="1">
        <v>51051</v>
      </c>
      <c r="F172" s="1" t="s">
        <v>684</v>
      </c>
      <c r="G172" s="2">
        <v>44328</v>
      </c>
      <c r="I172" s="3">
        <v>20</v>
      </c>
      <c r="J172" s="3">
        <v>11</v>
      </c>
      <c r="K172" s="4">
        <v>0.55</v>
      </c>
      <c r="L172" s="3">
        <v>13</v>
      </c>
      <c r="M172" s="3">
        <v>5</v>
      </c>
      <c r="N172" s="4">
        <v>0.25</v>
      </c>
      <c r="O172" s="3">
        <v>7</v>
      </c>
      <c r="P172" s="3">
        <v>6</v>
      </c>
      <c r="Q172" s="4">
        <v>0.3</v>
      </c>
      <c r="R172" s="3" t="str">
        <f t="shared" si="2"/>
        <v>教学一区</v>
      </c>
    </row>
    <row r="173" spans="1:18">
      <c r="A173" s="1" t="s">
        <v>544</v>
      </c>
      <c r="B173" s="1" t="s">
        <v>29</v>
      </c>
      <c r="C173" s="1" t="s">
        <v>51</v>
      </c>
      <c r="D173" s="1" t="s">
        <v>685</v>
      </c>
      <c r="E173" s="1">
        <v>50225</v>
      </c>
      <c r="F173" s="1" t="s">
        <v>686</v>
      </c>
      <c r="G173" s="2">
        <v>44301</v>
      </c>
      <c r="I173" s="3">
        <v>21</v>
      </c>
      <c r="J173" s="3">
        <v>9</v>
      </c>
      <c r="K173" s="4">
        <v>0.428571428571429</v>
      </c>
      <c r="L173" s="3">
        <v>15</v>
      </c>
      <c r="M173" s="3">
        <v>7</v>
      </c>
      <c r="N173" s="4">
        <v>0.333333333333333</v>
      </c>
      <c r="O173" s="3">
        <v>6</v>
      </c>
      <c r="P173" s="3">
        <v>2</v>
      </c>
      <c r="Q173" s="4">
        <v>0.0952380952380952</v>
      </c>
      <c r="R173" s="3" t="str">
        <f t="shared" si="2"/>
        <v>教学一区</v>
      </c>
    </row>
    <row r="174" spans="1:18">
      <c r="A174" s="1" t="s">
        <v>544</v>
      </c>
      <c r="B174" s="1" t="s">
        <v>29</v>
      </c>
      <c r="C174" s="1" t="s">
        <v>51</v>
      </c>
      <c r="D174" s="1" t="s">
        <v>685</v>
      </c>
      <c r="E174" s="1">
        <v>22852</v>
      </c>
      <c r="F174" s="1" t="s">
        <v>687</v>
      </c>
      <c r="G174" s="2">
        <v>44106</v>
      </c>
      <c r="I174" s="3">
        <v>12</v>
      </c>
      <c r="J174" s="3">
        <v>6</v>
      </c>
      <c r="K174" s="4">
        <v>0.5</v>
      </c>
      <c r="L174" s="3">
        <v>10</v>
      </c>
      <c r="M174" s="3">
        <v>6</v>
      </c>
      <c r="N174" s="4">
        <v>0.5</v>
      </c>
      <c r="O174" s="3">
        <v>2</v>
      </c>
      <c r="P174" s="3">
        <v>0</v>
      </c>
      <c r="Q174" s="4">
        <v>0</v>
      </c>
      <c r="R174" s="3" t="str">
        <f t="shared" si="2"/>
        <v>教学一区</v>
      </c>
    </row>
    <row r="175" spans="1:18">
      <c r="A175" s="1" t="s">
        <v>544</v>
      </c>
      <c r="B175" s="1" t="s">
        <v>29</v>
      </c>
      <c r="C175" s="1" t="s">
        <v>51</v>
      </c>
      <c r="D175" s="1" t="s">
        <v>685</v>
      </c>
      <c r="E175" s="1">
        <v>51531</v>
      </c>
      <c r="F175" s="1" t="s">
        <v>688</v>
      </c>
      <c r="G175" s="2">
        <v>44357</v>
      </c>
      <c r="I175" s="3">
        <v>15</v>
      </c>
      <c r="J175" s="3">
        <v>6</v>
      </c>
      <c r="K175" s="4">
        <v>0.4</v>
      </c>
      <c r="L175" s="3">
        <v>10</v>
      </c>
      <c r="M175" s="3">
        <v>2</v>
      </c>
      <c r="N175" s="4">
        <v>0.133333333333333</v>
      </c>
      <c r="O175" s="3">
        <v>5</v>
      </c>
      <c r="P175" s="3">
        <v>4</v>
      </c>
      <c r="Q175" s="4">
        <v>0.266666666666667</v>
      </c>
      <c r="R175" s="3" t="str">
        <f t="shared" si="2"/>
        <v>教学一区</v>
      </c>
    </row>
    <row r="176" spans="1:18">
      <c r="A176" s="1" t="s">
        <v>544</v>
      </c>
      <c r="B176" s="1" t="s">
        <v>29</v>
      </c>
      <c r="C176" s="1" t="s">
        <v>51</v>
      </c>
      <c r="D176" s="1" t="s">
        <v>685</v>
      </c>
      <c r="E176" s="1">
        <v>25921</v>
      </c>
      <c r="F176" s="1" t="s">
        <v>689</v>
      </c>
      <c r="G176" s="2">
        <v>44245</v>
      </c>
      <c r="I176" s="3">
        <v>15</v>
      </c>
      <c r="J176" s="3">
        <v>8</v>
      </c>
      <c r="K176" s="4">
        <v>0.533333333333333</v>
      </c>
      <c r="L176" s="3">
        <v>8</v>
      </c>
      <c r="M176" s="3">
        <v>3</v>
      </c>
      <c r="N176" s="4">
        <v>0.2</v>
      </c>
      <c r="O176" s="3">
        <v>7</v>
      </c>
      <c r="P176" s="3">
        <v>5</v>
      </c>
      <c r="Q176" s="4">
        <v>0.333333333333333</v>
      </c>
      <c r="R176" s="3" t="str">
        <f t="shared" si="2"/>
        <v>教学一区</v>
      </c>
    </row>
    <row r="177" spans="1:18">
      <c r="A177" s="1" t="s">
        <v>544</v>
      </c>
      <c r="B177" s="1" t="s">
        <v>29</v>
      </c>
      <c r="C177" s="1" t="s">
        <v>51</v>
      </c>
      <c r="D177" s="1" t="s">
        <v>685</v>
      </c>
      <c r="E177" s="1">
        <v>50215</v>
      </c>
      <c r="F177" s="1" t="s">
        <v>690</v>
      </c>
      <c r="G177" s="2">
        <v>44301</v>
      </c>
      <c r="I177" s="3">
        <v>13</v>
      </c>
      <c r="J177" s="3">
        <v>3</v>
      </c>
      <c r="K177" s="4">
        <v>0.230769230769231</v>
      </c>
      <c r="L177" s="3">
        <v>9</v>
      </c>
      <c r="M177" s="3">
        <v>1</v>
      </c>
      <c r="N177" s="4">
        <v>0.0769230769230769</v>
      </c>
      <c r="O177" s="3">
        <v>4</v>
      </c>
      <c r="P177" s="3">
        <v>2</v>
      </c>
      <c r="Q177" s="4">
        <v>0.153846153846154</v>
      </c>
      <c r="R177" s="3" t="str">
        <f t="shared" si="2"/>
        <v>教学一区</v>
      </c>
    </row>
    <row r="178" spans="1:18">
      <c r="A178" s="1" t="s">
        <v>544</v>
      </c>
      <c r="B178" s="1" t="s">
        <v>29</v>
      </c>
      <c r="C178" s="1" t="s">
        <v>51</v>
      </c>
      <c r="D178" s="1" t="s">
        <v>685</v>
      </c>
      <c r="E178" s="1">
        <v>69136</v>
      </c>
      <c r="F178" s="1" t="s">
        <v>691</v>
      </c>
      <c r="G178" s="2">
        <v>45269</v>
      </c>
      <c r="I178" s="3">
        <v>14</v>
      </c>
      <c r="J178" s="3">
        <v>9</v>
      </c>
      <c r="K178" s="4">
        <v>0.642857142857143</v>
      </c>
      <c r="L178" s="3">
        <v>5</v>
      </c>
      <c r="M178" s="3">
        <v>4</v>
      </c>
      <c r="N178" s="4">
        <v>0.285714285714286</v>
      </c>
      <c r="O178" s="3">
        <v>9</v>
      </c>
      <c r="P178" s="3">
        <v>5</v>
      </c>
      <c r="Q178" s="4">
        <v>0.357142857142857</v>
      </c>
      <c r="R178" s="3" t="str">
        <f t="shared" si="2"/>
        <v>教学一区</v>
      </c>
    </row>
    <row r="179" spans="1:18">
      <c r="A179" s="1" t="s">
        <v>544</v>
      </c>
      <c r="B179" s="1" t="s">
        <v>29</v>
      </c>
      <c r="C179" s="1" t="s">
        <v>51</v>
      </c>
      <c r="D179" s="1" t="s">
        <v>685</v>
      </c>
      <c r="E179" s="1">
        <v>62612</v>
      </c>
      <c r="F179" s="1" t="s">
        <v>692</v>
      </c>
      <c r="G179" s="2">
        <v>44981</v>
      </c>
      <c r="I179" s="3">
        <v>19</v>
      </c>
      <c r="J179" s="3">
        <v>11</v>
      </c>
      <c r="K179" s="4">
        <v>0.578947368421053</v>
      </c>
      <c r="L179" s="3">
        <v>9</v>
      </c>
      <c r="M179" s="3">
        <v>5</v>
      </c>
      <c r="N179" s="4">
        <v>0.263157894736842</v>
      </c>
      <c r="O179" s="3">
        <v>10</v>
      </c>
      <c r="P179" s="3">
        <v>6</v>
      </c>
      <c r="Q179" s="4">
        <v>0.315789473684211</v>
      </c>
      <c r="R179" s="3" t="str">
        <f t="shared" si="2"/>
        <v>教学一区</v>
      </c>
    </row>
    <row r="180" spans="1:18">
      <c r="A180" s="1" t="s">
        <v>544</v>
      </c>
      <c r="B180" s="1" t="s">
        <v>29</v>
      </c>
      <c r="C180" s="1" t="s">
        <v>51</v>
      </c>
      <c r="D180" s="1" t="s">
        <v>685</v>
      </c>
      <c r="E180" s="1">
        <v>62279</v>
      </c>
      <c r="F180" s="1" t="s">
        <v>527</v>
      </c>
      <c r="G180" s="2">
        <v>44896</v>
      </c>
      <c r="I180" s="3">
        <v>18</v>
      </c>
      <c r="J180" s="3">
        <v>12</v>
      </c>
      <c r="K180" s="4">
        <v>0.666666666666667</v>
      </c>
      <c r="L180" s="3">
        <v>17</v>
      </c>
      <c r="M180" s="3">
        <v>12</v>
      </c>
      <c r="N180" s="4">
        <v>0.666666666666667</v>
      </c>
      <c r="O180" s="3">
        <v>1</v>
      </c>
      <c r="P180" s="3">
        <v>0</v>
      </c>
      <c r="Q180" s="4">
        <v>0</v>
      </c>
      <c r="R180" s="3" t="str">
        <f t="shared" si="2"/>
        <v>教学一区</v>
      </c>
    </row>
    <row r="181" spans="1:18">
      <c r="A181" s="1" t="s">
        <v>544</v>
      </c>
      <c r="B181" s="1" t="s">
        <v>29</v>
      </c>
      <c r="C181" s="1" t="s">
        <v>51</v>
      </c>
      <c r="D181" s="1" t="s">
        <v>685</v>
      </c>
      <c r="E181" s="1">
        <v>26390</v>
      </c>
      <c r="F181" s="1" t="s">
        <v>693</v>
      </c>
      <c r="G181" s="2">
        <v>44287</v>
      </c>
      <c r="I181" s="3">
        <v>17</v>
      </c>
      <c r="J181" s="3">
        <v>6</v>
      </c>
      <c r="K181" s="4">
        <v>0.352941176470588</v>
      </c>
      <c r="L181" s="3">
        <v>9</v>
      </c>
      <c r="M181" s="3">
        <v>2</v>
      </c>
      <c r="N181" s="4">
        <v>0.117647058823529</v>
      </c>
      <c r="O181" s="3">
        <v>8</v>
      </c>
      <c r="P181" s="3">
        <v>4</v>
      </c>
      <c r="Q181" s="4">
        <v>0.235294117647059</v>
      </c>
      <c r="R181" s="3" t="str">
        <f t="shared" si="2"/>
        <v>教学一区</v>
      </c>
    </row>
    <row r="182" spans="1:18">
      <c r="A182" s="1" t="s">
        <v>544</v>
      </c>
      <c r="B182" s="1" t="s">
        <v>29</v>
      </c>
      <c r="C182" s="1" t="s">
        <v>51</v>
      </c>
      <c r="D182" s="1" t="s">
        <v>685</v>
      </c>
      <c r="E182" s="1">
        <v>21603</v>
      </c>
      <c r="F182" s="1" t="s">
        <v>694</v>
      </c>
      <c r="G182" s="2">
        <v>44028</v>
      </c>
      <c r="I182" s="3">
        <v>20</v>
      </c>
      <c r="J182" s="3">
        <v>12</v>
      </c>
      <c r="K182" s="4">
        <v>0.6</v>
      </c>
      <c r="L182" s="3">
        <v>8</v>
      </c>
      <c r="M182" s="3">
        <v>3</v>
      </c>
      <c r="N182" s="4">
        <v>0.15</v>
      </c>
      <c r="O182" s="3">
        <v>12</v>
      </c>
      <c r="P182" s="3">
        <v>9</v>
      </c>
      <c r="Q182" s="4">
        <v>0.45</v>
      </c>
      <c r="R182" s="3" t="str">
        <f t="shared" si="2"/>
        <v>教学一区</v>
      </c>
    </row>
    <row r="183" spans="1:18">
      <c r="A183" s="1" t="s">
        <v>544</v>
      </c>
      <c r="B183" s="1" t="s">
        <v>29</v>
      </c>
      <c r="C183" s="1" t="s">
        <v>51</v>
      </c>
      <c r="D183" s="1" t="s">
        <v>685</v>
      </c>
      <c r="E183" s="1">
        <v>21224</v>
      </c>
      <c r="F183" s="1" t="s">
        <v>435</v>
      </c>
      <c r="G183" s="2">
        <v>43995</v>
      </c>
      <c r="I183" s="3">
        <v>2</v>
      </c>
      <c r="J183" s="3">
        <v>0</v>
      </c>
      <c r="K183" s="4">
        <v>0</v>
      </c>
      <c r="L183" s="3">
        <v>1</v>
      </c>
      <c r="M183" s="3">
        <v>0</v>
      </c>
      <c r="N183" s="4">
        <v>0</v>
      </c>
      <c r="O183" s="3">
        <v>1</v>
      </c>
      <c r="P183" s="3">
        <v>0</v>
      </c>
      <c r="Q183" s="4">
        <v>0</v>
      </c>
      <c r="R183" s="3" t="str">
        <f t="shared" si="2"/>
        <v>教学一区</v>
      </c>
    </row>
    <row r="184" spans="1:18">
      <c r="A184" s="1" t="s">
        <v>544</v>
      </c>
      <c r="B184" s="1" t="s">
        <v>29</v>
      </c>
      <c r="C184" s="1" t="s">
        <v>51</v>
      </c>
      <c r="D184" s="1" t="s">
        <v>685</v>
      </c>
      <c r="E184" s="1">
        <v>51174</v>
      </c>
      <c r="F184" s="1" t="s">
        <v>695</v>
      </c>
      <c r="G184" s="2">
        <v>44335</v>
      </c>
      <c r="I184" s="3">
        <v>19</v>
      </c>
      <c r="J184" s="3">
        <v>11</v>
      </c>
      <c r="K184" s="4">
        <v>0.578947368421053</v>
      </c>
      <c r="L184" s="3">
        <v>14</v>
      </c>
      <c r="M184" s="3">
        <v>9</v>
      </c>
      <c r="N184" s="4">
        <v>0.473684210526316</v>
      </c>
      <c r="O184" s="3">
        <v>5</v>
      </c>
      <c r="P184" s="3">
        <v>2</v>
      </c>
      <c r="Q184" s="4">
        <v>0.105263157894737</v>
      </c>
      <c r="R184" s="3" t="str">
        <f t="shared" si="2"/>
        <v>教学一区</v>
      </c>
    </row>
    <row r="185" spans="1:18">
      <c r="A185" s="1" t="s">
        <v>544</v>
      </c>
      <c r="B185" s="1" t="s">
        <v>29</v>
      </c>
      <c r="C185" s="1" t="s">
        <v>30</v>
      </c>
      <c r="D185" s="1" t="s">
        <v>31</v>
      </c>
      <c r="E185" s="1">
        <v>51082</v>
      </c>
      <c r="F185" s="1" t="s">
        <v>696</v>
      </c>
      <c r="G185" s="2">
        <v>44328</v>
      </c>
      <c r="I185" s="3">
        <v>31</v>
      </c>
      <c r="J185" s="3">
        <v>15</v>
      </c>
      <c r="K185" s="4">
        <v>0.483870967741935</v>
      </c>
      <c r="L185" s="3">
        <v>22</v>
      </c>
      <c r="M185" s="3">
        <v>7</v>
      </c>
      <c r="N185" s="4">
        <v>0.225806451612903</v>
      </c>
      <c r="O185" s="3">
        <v>9</v>
      </c>
      <c r="P185" s="3">
        <v>8</v>
      </c>
      <c r="Q185" s="4">
        <v>0.258064516129032</v>
      </c>
      <c r="R185" s="3" t="str">
        <f t="shared" si="2"/>
        <v>教学一区</v>
      </c>
    </row>
    <row r="186" spans="1:18">
      <c r="A186" s="1" t="s">
        <v>544</v>
      </c>
      <c r="B186" s="1" t="s">
        <v>29</v>
      </c>
      <c r="C186" s="1" t="s">
        <v>30</v>
      </c>
      <c r="D186" s="1" t="s">
        <v>31</v>
      </c>
      <c r="E186" s="1">
        <v>25830</v>
      </c>
      <c r="F186" s="1" t="s">
        <v>697</v>
      </c>
      <c r="G186" s="2">
        <v>44238</v>
      </c>
      <c r="I186" s="3">
        <v>19</v>
      </c>
      <c r="J186" s="3">
        <v>12</v>
      </c>
      <c r="K186" s="4">
        <v>0.631578947368421</v>
      </c>
      <c r="L186" s="3">
        <v>12</v>
      </c>
      <c r="M186" s="3">
        <v>8</v>
      </c>
      <c r="N186" s="4">
        <v>0.421052631578947</v>
      </c>
      <c r="O186" s="3">
        <v>7</v>
      </c>
      <c r="P186" s="3">
        <v>4</v>
      </c>
      <c r="Q186" s="4">
        <v>0.210526315789474</v>
      </c>
      <c r="R186" s="3" t="str">
        <f t="shared" si="2"/>
        <v>教学一区</v>
      </c>
    </row>
    <row r="187" spans="1:18">
      <c r="A187" s="1" t="s">
        <v>544</v>
      </c>
      <c r="B187" s="1" t="s">
        <v>29</v>
      </c>
      <c r="C187" s="1" t="s">
        <v>30</v>
      </c>
      <c r="D187" s="1" t="s">
        <v>31</v>
      </c>
      <c r="E187" s="1">
        <v>25472</v>
      </c>
      <c r="F187" s="1" t="s">
        <v>698</v>
      </c>
      <c r="G187" s="2">
        <v>44217</v>
      </c>
      <c r="I187" s="3">
        <v>12</v>
      </c>
      <c r="J187" s="3">
        <v>6</v>
      </c>
      <c r="K187" s="4">
        <v>0.5</v>
      </c>
      <c r="L187" s="3">
        <v>11</v>
      </c>
      <c r="M187" s="3">
        <v>5</v>
      </c>
      <c r="N187" s="4">
        <v>0.416666666666667</v>
      </c>
      <c r="O187" s="3">
        <v>1</v>
      </c>
      <c r="P187" s="3">
        <v>1</v>
      </c>
      <c r="Q187" s="4">
        <v>0.0833333333333333</v>
      </c>
      <c r="R187" s="3" t="str">
        <f t="shared" si="2"/>
        <v>教学一区</v>
      </c>
    </row>
    <row r="188" spans="1:18">
      <c r="A188" s="1" t="s">
        <v>544</v>
      </c>
      <c r="B188" s="1" t="s">
        <v>29</v>
      </c>
      <c r="C188" s="1" t="s">
        <v>30</v>
      </c>
      <c r="D188" s="1" t="s">
        <v>31</v>
      </c>
      <c r="E188" s="1">
        <v>22412</v>
      </c>
      <c r="F188" s="1" t="s">
        <v>500</v>
      </c>
      <c r="G188" s="2">
        <v>44079</v>
      </c>
      <c r="I188" s="3">
        <v>5</v>
      </c>
      <c r="J188" s="3">
        <v>3</v>
      </c>
      <c r="K188" s="4">
        <v>0.6</v>
      </c>
      <c r="L188" s="3">
        <v>4</v>
      </c>
      <c r="M188" s="3">
        <v>3</v>
      </c>
      <c r="N188" s="4">
        <v>0.6</v>
      </c>
      <c r="O188" s="3">
        <v>1</v>
      </c>
      <c r="P188" s="3">
        <v>0</v>
      </c>
      <c r="Q188" s="4">
        <v>0</v>
      </c>
      <c r="R188" s="3" t="str">
        <f t="shared" si="2"/>
        <v>教学一区</v>
      </c>
    </row>
    <row r="189" spans="1:18">
      <c r="A189" s="1" t="s">
        <v>544</v>
      </c>
      <c r="B189" s="1" t="s">
        <v>29</v>
      </c>
      <c r="C189" s="1" t="s">
        <v>30</v>
      </c>
      <c r="D189" s="1" t="s">
        <v>31</v>
      </c>
      <c r="E189" s="1">
        <v>26701</v>
      </c>
      <c r="F189" s="1" t="s">
        <v>699</v>
      </c>
      <c r="G189" s="2">
        <v>44294</v>
      </c>
      <c r="I189" s="3">
        <v>15</v>
      </c>
      <c r="J189" s="3">
        <v>3</v>
      </c>
      <c r="K189" s="4">
        <v>0.2</v>
      </c>
      <c r="L189" s="3">
        <v>11</v>
      </c>
      <c r="M189" s="3">
        <v>2</v>
      </c>
      <c r="N189" s="4">
        <v>0.133333333333333</v>
      </c>
      <c r="O189" s="3">
        <v>4</v>
      </c>
      <c r="P189" s="3">
        <v>1</v>
      </c>
      <c r="Q189" s="4">
        <v>0.0666666666666667</v>
      </c>
      <c r="R189" s="3" t="str">
        <f t="shared" si="2"/>
        <v>教学一区</v>
      </c>
    </row>
    <row r="190" spans="1:18">
      <c r="A190" s="1" t="s">
        <v>544</v>
      </c>
      <c r="B190" s="1" t="s">
        <v>29</v>
      </c>
      <c r="C190" s="1" t="s">
        <v>30</v>
      </c>
      <c r="D190" s="1" t="s">
        <v>31</v>
      </c>
      <c r="E190" s="1">
        <v>50219</v>
      </c>
      <c r="F190" s="1" t="s">
        <v>97</v>
      </c>
      <c r="G190" s="2">
        <v>44301</v>
      </c>
      <c r="I190" s="3">
        <v>6</v>
      </c>
      <c r="J190" s="3">
        <v>5</v>
      </c>
      <c r="K190" s="4">
        <v>0.833333333333333</v>
      </c>
      <c r="L190" s="3">
        <v>1</v>
      </c>
      <c r="M190" s="3">
        <v>0</v>
      </c>
      <c r="N190" s="4">
        <v>0</v>
      </c>
      <c r="O190" s="3">
        <v>5</v>
      </c>
      <c r="P190" s="3">
        <v>5</v>
      </c>
      <c r="Q190" s="4">
        <v>0.833333333333333</v>
      </c>
      <c r="R190" s="3" t="str">
        <f t="shared" si="2"/>
        <v>教学一区</v>
      </c>
    </row>
    <row r="191" spans="1:18">
      <c r="A191" s="1" t="s">
        <v>544</v>
      </c>
      <c r="B191" s="1" t="s">
        <v>29</v>
      </c>
      <c r="C191" s="1" t="s">
        <v>30</v>
      </c>
      <c r="D191" s="1" t="s">
        <v>31</v>
      </c>
      <c r="E191" s="1">
        <v>22761</v>
      </c>
      <c r="F191" s="1" t="s">
        <v>700</v>
      </c>
      <c r="G191" s="2">
        <v>44100</v>
      </c>
      <c r="I191" s="3">
        <v>20</v>
      </c>
      <c r="J191" s="3">
        <v>9</v>
      </c>
      <c r="K191" s="4">
        <v>0.45</v>
      </c>
      <c r="L191" s="3">
        <v>10</v>
      </c>
      <c r="M191" s="3">
        <v>5</v>
      </c>
      <c r="N191" s="4">
        <v>0.25</v>
      </c>
      <c r="O191" s="3">
        <v>10</v>
      </c>
      <c r="P191" s="3">
        <v>4</v>
      </c>
      <c r="Q191" s="4">
        <v>0.2</v>
      </c>
      <c r="R191" s="3" t="str">
        <f t="shared" si="2"/>
        <v>教学一区</v>
      </c>
    </row>
    <row r="192" spans="1:18">
      <c r="A192" s="1" t="s">
        <v>544</v>
      </c>
      <c r="B192" s="1" t="s">
        <v>29</v>
      </c>
      <c r="C192" s="1" t="s">
        <v>30</v>
      </c>
      <c r="D192" s="1" t="s">
        <v>31</v>
      </c>
      <c r="E192" s="1">
        <v>53365</v>
      </c>
      <c r="F192" s="1" t="s">
        <v>701</v>
      </c>
      <c r="G192" s="2">
        <v>44511</v>
      </c>
      <c r="I192" s="3">
        <v>21</v>
      </c>
      <c r="J192" s="3">
        <v>10</v>
      </c>
      <c r="K192" s="4">
        <v>0.476190476190476</v>
      </c>
      <c r="L192" s="3">
        <v>8</v>
      </c>
      <c r="M192" s="3">
        <v>2</v>
      </c>
      <c r="N192" s="4">
        <v>0.0952380952380952</v>
      </c>
      <c r="O192" s="3">
        <v>13</v>
      </c>
      <c r="P192" s="3">
        <v>8</v>
      </c>
      <c r="Q192" s="4">
        <v>0.380952380952381</v>
      </c>
      <c r="R192" s="3" t="str">
        <f t="shared" si="2"/>
        <v>教学一区</v>
      </c>
    </row>
    <row r="193" spans="1:18">
      <c r="A193" s="1" t="s">
        <v>544</v>
      </c>
      <c r="B193" s="1" t="s">
        <v>29</v>
      </c>
      <c r="C193" s="1" t="s">
        <v>30</v>
      </c>
      <c r="D193" s="1" t="s">
        <v>31</v>
      </c>
      <c r="E193" s="1">
        <v>51061</v>
      </c>
      <c r="F193" s="1" t="s">
        <v>32</v>
      </c>
      <c r="G193" s="2">
        <v>44328</v>
      </c>
      <c r="I193" s="3">
        <v>17</v>
      </c>
      <c r="J193" s="3">
        <v>12</v>
      </c>
      <c r="K193" s="4">
        <v>0.705882352941177</v>
      </c>
      <c r="L193" s="3">
        <v>16</v>
      </c>
      <c r="M193" s="3">
        <v>11</v>
      </c>
      <c r="N193" s="4">
        <v>0.647058823529412</v>
      </c>
      <c r="O193" s="3">
        <v>1</v>
      </c>
      <c r="P193" s="3">
        <v>1</v>
      </c>
      <c r="Q193" s="4">
        <v>0.0588235294117647</v>
      </c>
      <c r="R193" s="3" t="str">
        <f t="shared" si="2"/>
        <v>教学一区</v>
      </c>
    </row>
    <row r="194" spans="1:18">
      <c r="A194" s="1" t="s">
        <v>544</v>
      </c>
      <c r="B194" s="1" t="s">
        <v>29</v>
      </c>
      <c r="C194" s="1" t="s">
        <v>30</v>
      </c>
      <c r="D194" s="1" t="s">
        <v>31</v>
      </c>
      <c r="E194" s="1">
        <v>50216</v>
      </c>
      <c r="F194" s="1" t="s">
        <v>702</v>
      </c>
      <c r="G194" s="2">
        <v>44301</v>
      </c>
      <c r="I194" s="3">
        <v>14</v>
      </c>
      <c r="J194" s="3">
        <v>7</v>
      </c>
      <c r="K194" s="4">
        <v>0.5</v>
      </c>
      <c r="L194" s="3">
        <v>13</v>
      </c>
      <c r="M194" s="3">
        <v>6</v>
      </c>
      <c r="N194" s="4">
        <v>0.428571428571429</v>
      </c>
      <c r="O194" s="3">
        <v>1</v>
      </c>
      <c r="P194" s="3">
        <v>1</v>
      </c>
      <c r="Q194" s="4">
        <v>0.0714285714285714</v>
      </c>
      <c r="R194" s="3" t="str">
        <f t="shared" si="2"/>
        <v>教学一区</v>
      </c>
    </row>
    <row r="195" spans="1:18">
      <c r="A195" s="1" t="s">
        <v>544</v>
      </c>
      <c r="B195" s="1" t="s">
        <v>29</v>
      </c>
      <c r="C195" s="1" t="s">
        <v>30</v>
      </c>
      <c r="D195" s="1" t="s">
        <v>31</v>
      </c>
      <c r="E195" s="1">
        <v>50469</v>
      </c>
      <c r="F195" s="1" t="s">
        <v>703</v>
      </c>
      <c r="G195" s="2">
        <v>44308</v>
      </c>
      <c r="I195" s="3">
        <v>15</v>
      </c>
      <c r="J195" s="3">
        <v>7</v>
      </c>
      <c r="K195" s="4">
        <v>0.466666666666667</v>
      </c>
      <c r="L195" s="3">
        <v>11</v>
      </c>
      <c r="M195" s="3">
        <v>4</v>
      </c>
      <c r="N195" s="4">
        <v>0.266666666666667</v>
      </c>
      <c r="O195" s="3">
        <v>4</v>
      </c>
      <c r="P195" s="3">
        <v>3</v>
      </c>
      <c r="Q195" s="4">
        <v>0.2</v>
      </c>
      <c r="R195" s="3" t="str">
        <f t="shared" ref="R195:R258" si="3">B195</f>
        <v>教学一区</v>
      </c>
    </row>
    <row r="196" spans="1:18">
      <c r="A196" s="1" t="s">
        <v>544</v>
      </c>
      <c r="B196" s="1" t="s">
        <v>29</v>
      </c>
      <c r="C196" s="1" t="s">
        <v>30</v>
      </c>
      <c r="D196" s="1" t="s">
        <v>31</v>
      </c>
      <c r="E196" s="1">
        <v>20802</v>
      </c>
      <c r="F196" s="1" t="s">
        <v>704</v>
      </c>
      <c r="G196" s="2">
        <v>43964</v>
      </c>
      <c r="I196" s="3">
        <v>12</v>
      </c>
      <c r="J196" s="3">
        <v>4</v>
      </c>
      <c r="K196" s="4">
        <v>0.333333333333333</v>
      </c>
      <c r="L196" s="3">
        <v>12</v>
      </c>
      <c r="M196" s="3">
        <v>4</v>
      </c>
      <c r="N196" s="4">
        <v>0.333333333333333</v>
      </c>
      <c r="O196" s="3">
        <v>0</v>
      </c>
      <c r="P196" s="3">
        <v>0</v>
      </c>
      <c r="Q196" s="4">
        <v>0</v>
      </c>
      <c r="R196" s="3" t="str">
        <f t="shared" si="3"/>
        <v>教学一区</v>
      </c>
    </row>
    <row r="197" spans="1:18">
      <c r="A197" s="1" t="s">
        <v>544</v>
      </c>
      <c r="B197" s="1" t="s">
        <v>29</v>
      </c>
      <c r="C197" s="1" t="s">
        <v>30</v>
      </c>
      <c r="D197" s="1" t="s">
        <v>31</v>
      </c>
      <c r="E197" s="1">
        <v>53367</v>
      </c>
      <c r="F197" s="1" t="s">
        <v>705</v>
      </c>
      <c r="G197" s="2">
        <v>44511</v>
      </c>
      <c r="I197" s="3">
        <v>20</v>
      </c>
      <c r="J197" s="3">
        <v>9</v>
      </c>
      <c r="K197" s="4">
        <v>0.45</v>
      </c>
      <c r="L197" s="3">
        <v>17</v>
      </c>
      <c r="M197" s="3">
        <v>7</v>
      </c>
      <c r="N197" s="4">
        <v>0.35</v>
      </c>
      <c r="O197" s="3">
        <v>3</v>
      </c>
      <c r="P197" s="3">
        <v>2</v>
      </c>
      <c r="Q197" s="4">
        <v>0.1</v>
      </c>
      <c r="R197" s="3" t="str">
        <f t="shared" si="3"/>
        <v>教学一区</v>
      </c>
    </row>
    <row r="198" spans="1:18">
      <c r="A198" s="1" t="s">
        <v>544</v>
      </c>
      <c r="B198" s="1" t="s">
        <v>29</v>
      </c>
      <c r="C198" s="1" t="s">
        <v>30</v>
      </c>
      <c r="D198" s="1" t="s">
        <v>31</v>
      </c>
      <c r="E198" s="1">
        <v>50861</v>
      </c>
      <c r="F198" s="1" t="s">
        <v>116</v>
      </c>
      <c r="G198" s="2">
        <v>44322</v>
      </c>
      <c r="I198" s="3">
        <v>14</v>
      </c>
      <c r="J198" s="3">
        <v>9</v>
      </c>
      <c r="K198" s="4">
        <v>0.642857142857143</v>
      </c>
      <c r="L198" s="3">
        <v>12</v>
      </c>
      <c r="M198" s="3">
        <v>8</v>
      </c>
      <c r="N198" s="4">
        <v>0.571428571428571</v>
      </c>
      <c r="O198" s="3">
        <v>2</v>
      </c>
      <c r="P198" s="3">
        <v>1</v>
      </c>
      <c r="Q198" s="4">
        <v>0.0714285714285714</v>
      </c>
      <c r="R198" s="3" t="str">
        <f t="shared" si="3"/>
        <v>教学一区</v>
      </c>
    </row>
    <row r="199" spans="1:18">
      <c r="A199" s="1" t="s">
        <v>544</v>
      </c>
      <c r="B199" s="1" t="s">
        <v>29</v>
      </c>
      <c r="C199" s="1" t="s">
        <v>30</v>
      </c>
      <c r="D199" s="1" t="s">
        <v>31</v>
      </c>
      <c r="E199" s="1">
        <v>21964</v>
      </c>
      <c r="F199" s="1" t="s">
        <v>530</v>
      </c>
      <c r="G199" s="2">
        <v>44051</v>
      </c>
      <c r="I199" s="3">
        <v>12</v>
      </c>
      <c r="J199" s="3">
        <v>8</v>
      </c>
      <c r="K199" s="4">
        <v>0.666666666666667</v>
      </c>
      <c r="L199" s="3">
        <v>10</v>
      </c>
      <c r="M199" s="3">
        <v>7</v>
      </c>
      <c r="N199" s="4">
        <v>0.583333333333333</v>
      </c>
      <c r="O199" s="3">
        <v>2</v>
      </c>
      <c r="P199" s="3">
        <v>1</v>
      </c>
      <c r="Q199" s="4">
        <v>0.0833333333333333</v>
      </c>
      <c r="R199" s="3" t="str">
        <f t="shared" si="3"/>
        <v>教学一区</v>
      </c>
    </row>
    <row r="200" spans="1:18">
      <c r="A200" s="1" t="s">
        <v>544</v>
      </c>
      <c r="B200" s="1" t="s">
        <v>29</v>
      </c>
      <c r="C200" s="1" t="s">
        <v>30</v>
      </c>
      <c r="D200" s="1" t="s">
        <v>31</v>
      </c>
      <c r="E200" s="1">
        <v>26700</v>
      </c>
      <c r="F200" s="1" t="s">
        <v>40</v>
      </c>
      <c r="G200" s="2">
        <v>44294</v>
      </c>
      <c r="I200" s="3">
        <v>11</v>
      </c>
      <c r="J200" s="3">
        <v>10</v>
      </c>
      <c r="K200" s="4">
        <v>0.909090909090909</v>
      </c>
      <c r="L200" s="3">
        <v>7</v>
      </c>
      <c r="M200" s="3">
        <v>6</v>
      </c>
      <c r="N200" s="4">
        <v>0.545454545454545</v>
      </c>
      <c r="O200" s="3">
        <v>4</v>
      </c>
      <c r="P200" s="3">
        <v>4</v>
      </c>
      <c r="Q200" s="4">
        <v>0.363636363636364</v>
      </c>
      <c r="R200" s="3" t="str">
        <f t="shared" si="3"/>
        <v>教学一区</v>
      </c>
    </row>
    <row r="201" spans="1:18">
      <c r="A201" s="1" t="s">
        <v>544</v>
      </c>
      <c r="B201" s="1" t="s">
        <v>29</v>
      </c>
      <c r="C201" s="1" t="s">
        <v>30</v>
      </c>
      <c r="D201" s="1" t="s">
        <v>31</v>
      </c>
      <c r="E201" s="1">
        <v>22324</v>
      </c>
      <c r="F201" s="1" t="s">
        <v>706</v>
      </c>
      <c r="G201" s="2">
        <v>44072</v>
      </c>
      <c r="I201" s="3">
        <v>6</v>
      </c>
      <c r="J201" s="3">
        <v>0</v>
      </c>
      <c r="K201" s="4">
        <v>0</v>
      </c>
      <c r="L201" s="3">
        <v>4</v>
      </c>
      <c r="M201" s="3">
        <v>0</v>
      </c>
      <c r="N201" s="4">
        <v>0</v>
      </c>
      <c r="O201" s="3">
        <v>2</v>
      </c>
      <c r="P201" s="3">
        <v>0</v>
      </c>
      <c r="Q201" s="4">
        <v>0</v>
      </c>
      <c r="R201" s="3" t="str">
        <f t="shared" si="3"/>
        <v>教学一区</v>
      </c>
    </row>
    <row r="202" spans="1:18">
      <c r="A202" s="1" t="s">
        <v>544</v>
      </c>
      <c r="B202" s="1" t="s">
        <v>44</v>
      </c>
      <c r="C202" s="1" t="s">
        <v>45</v>
      </c>
      <c r="D202" s="1" t="s">
        <v>1</v>
      </c>
      <c r="E202" s="1">
        <v>4222</v>
      </c>
      <c r="F202" s="1" t="s">
        <v>707</v>
      </c>
      <c r="G202" s="2">
        <v>43678</v>
      </c>
      <c r="I202" s="3">
        <v>10</v>
      </c>
      <c r="J202" s="3">
        <v>6</v>
      </c>
      <c r="K202" s="4">
        <v>0.6</v>
      </c>
      <c r="L202" s="3">
        <v>10</v>
      </c>
      <c r="M202" s="3">
        <v>6</v>
      </c>
      <c r="N202" s="4">
        <v>0.6</v>
      </c>
      <c r="O202" s="3">
        <v>0</v>
      </c>
      <c r="P202" s="3">
        <v>0</v>
      </c>
      <c r="Q202" s="4">
        <v>0</v>
      </c>
      <c r="R202" s="3" t="str">
        <f t="shared" si="3"/>
        <v>教学二区</v>
      </c>
    </row>
    <row r="203" spans="1:18">
      <c r="A203" s="1" t="s">
        <v>544</v>
      </c>
      <c r="B203" s="1" t="s">
        <v>29</v>
      </c>
      <c r="C203" s="1" t="s">
        <v>30</v>
      </c>
      <c r="D203" s="1" t="s">
        <v>61</v>
      </c>
      <c r="E203" s="1">
        <v>50470</v>
      </c>
      <c r="F203" s="1" t="s">
        <v>708</v>
      </c>
      <c r="G203" s="2">
        <v>44308</v>
      </c>
      <c r="I203" s="3">
        <v>19</v>
      </c>
      <c r="J203" s="3">
        <v>7</v>
      </c>
      <c r="K203" s="4">
        <v>0.368421052631579</v>
      </c>
      <c r="L203" s="3">
        <v>11</v>
      </c>
      <c r="M203" s="3">
        <v>2</v>
      </c>
      <c r="N203" s="4">
        <v>0.105263157894737</v>
      </c>
      <c r="O203" s="3">
        <v>8</v>
      </c>
      <c r="P203" s="3">
        <v>5</v>
      </c>
      <c r="Q203" s="4">
        <v>0.263157894736842</v>
      </c>
      <c r="R203" s="3" t="str">
        <f t="shared" si="3"/>
        <v>教学一区</v>
      </c>
    </row>
    <row r="204" spans="1:18">
      <c r="A204" s="1" t="s">
        <v>544</v>
      </c>
      <c r="B204" s="1" t="s">
        <v>29</v>
      </c>
      <c r="C204" s="1" t="s">
        <v>30</v>
      </c>
      <c r="D204" s="1" t="s">
        <v>61</v>
      </c>
      <c r="E204" s="1">
        <v>22173</v>
      </c>
      <c r="F204" s="1" t="s">
        <v>709</v>
      </c>
      <c r="G204" s="2">
        <v>44065</v>
      </c>
      <c r="I204" s="3">
        <v>16</v>
      </c>
      <c r="J204" s="3">
        <v>9</v>
      </c>
      <c r="K204" s="4">
        <v>0.5625</v>
      </c>
      <c r="L204" s="3">
        <v>13</v>
      </c>
      <c r="M204" s="3">
        <v>7</v>
      </c>
      <c r="N204" s="4">
        <v>0.4375</v>
      </c>
      <c r="O204" s="3">
        <v>3</v>
      </c>
      <c r="P204" s="3">
        <v>2</v>
      </c>
      <c r="Q204" s="4">
        <v>0.125</v>
      </c>
      <c r="R204" s="3" t="str">
        <f t="shared" si="3"/>
        <v>教学一区</v>
      </c>
    </row>
    <row r="205" spans="1:18">
      <c r="A205" s="1" t="s">
        <v>544</v>
      </c>
      <c r="B205" s="1" t="s">
        <v>29</v>
      </c>
      <c r="C205" s="1" t="s">
        <v>30</v>
      </c>
      <c r="D205" s="1" t="s">
        <v>61</v>
      </c>
      <c r="E205" s="1">
        <v>51059</v>
      </c>
      <c r="F205" s="1" t="s">
        <v>710</v>
      </c>
      <c r="G205" s="2">
        <v>44328</v>
      </c>
      <c r="I205" s="3">
        <v>4</v>
      </c>
      <c r="J205" s="3">
        <v>2</v>
      </c>
      <c r="K205" s="4">
        <v>0.5</v>
      </c>
      <c r="L205" s="3">
        <v>3</v>
      </c>
      <c r="M205" s="3">
        <v>1</v>
      </c>
      <c r="N205" s="4">
        <v>0.25</v>
      </c>
      <c r="O205" s="3">
        <v>1</v>
      </c>
      <c r="P205" s="3">
        <v>1</v>
      </c>
      <c r="Q205" s="4">
        <v>0.25</v>
      </c>
      <c r="R205" s="3" t="str">
        <f t="shared" si="3"/>
        <v>教学一区</v>
      </c>
    </row>
    <row r="206" spans="1:18">
      <c r="A206" s="1" t="s">
        <v>544</v>
      </c>
      <c r="B206" s="1" t="s">
        <v>29</v>
      </c>
      <c r="C206" s="1" t="s">
        <v>30</v>
      </c>
      <c r="D206" s="1" t="s">
        <v>61</v>
      </c>
      <c r="E206" s="1">
        <v>23849</v>
      </c>
      <c r="F206" s="1" t="s">
        <v>711</v>
      </c>
      <c r="G206" s="2">
        <v>44154</v>
      </c>
      <c r="I206" s="3">
        <v>20</v>
      </c>
      <c r="J206" s="3">
        <v>7</v>
      </c>
      <c r="K206" s="4">
        <v>0.35</v>
      </c>
      <c r="L206" s="3">
        <v>8</v>
      </c>
      <c r="M206" s="3">
        <v>3</v>
      </c>
      <c r="N206" s="4">
        <v>0.15</v>
      </c>
      <c r="O206" s="3">
        <v>12</v>
      </c>
      <c r="P206" s="3">
        <v>4</v>
      </c>
      <c r="Q206" s="4">
        <v>0.2</v>
      </c>
      <c r="R206" s="3" t="str">
        <f t="shared" si="3"/>
        <v>教学一区</v>
      </c>
    </row>
    <row r="207" spans="1:18">
      <c r="A207" s="1" t="s">
        <v>544</v>
      </c>
      <c r="B207" s="1" t="s">
        <v>29</v>
      </c>
      <c r="C207" s="1" t="s">
        <v>30</v>
      </c>
      <c r="D207" s="1" t="s">
        <v>61</v>
      </c>
      <c r="E207" s="1">
        <v>23225</v>
      </c>
      <c r="F207" s="1" t="s">
        <v>62</v>
      </c>
      <c r="G207" s="2">
        <v>44120</v>
      </c>
      <c r="I207" s="3">
        <v>24</v>
      </c>
      <c r="J207" s="3">
        <v>18</v>
      </c>
      <c r="K207" s="4">
        <v>0.75</v>
      </c>
      <c r="L207" s="3">
        <v>7</v>
      </c>
      <c r="M207" s="3">
        <v>6</v>
      </c>
      <c r="N207" s="4">
        <v>0.25</v>
      </c>
      <c r="O207" s="3">
        <v>17</v>
      </c>
      <c r="P207" s="3">
        <v>12</v>
      </c>
      <c r="Q207" s="4">
        <v>0.5</v>
      </c>
      <c r="R207" s="3" t="str">
        <f t="shared" si="3"/>
        <v>教学一区</v>
      </c>
    </row>
    <row r="208" spans="1:18">
      <c r="A208" s="1" t="s">
        <v>544</v>
      </c>
      <c r="B208" s="1" t="s">
        <v>29</v>
      </c>
      <c r="C208" s="1" t="s">
        <v>30</v>
      </c>
      <c r="D208" s="1" t="s">
        <v>61</v>
      </c>
      <c r="E208" s="1">
        <v>25086</v>
      </c>
      <c r="F208" s="1" t="s">
        <v>712</v>
      </c>
      <c r="G208" s="2">
        <v>44195</v>
      </c>
      <c r="I208" s="3">
        <v>10</v>
      </c>
      <c r="J208" s="3">
        <v>4</v>
      </c>
      <c r="K208" s="4">
        <v>0.4</v>
      </c>
      <c r="L208" s="3">
        <v>6</v>
      </c>
      <c r="M208" s="3">
        <v>4</v>
      </c>
      <c r="N208" s="4">
        <v>0.4</v>
      </c>
      <c r="O208" s="3">
        <v>4</v>
      </c>
      <c r="P208" s="3">
        <v>0</v>
      </c>
      <c r="Q208" s="4">
        <v>0</v>
      </c>
      <c r="R208" s="3" t="str">
        <f t="shared" si="3"/>
        <v>教学一区</v>
      </c>
    </row>
    <row r="209" spans="1:18">
      <c r="A209" s="1" t="s">
        <v>544</v>
      </c>
      <c r="B209" s="1" t="s">
        <v>29</v>
      </c>
      <c r="C209" s="1" t="s">
        <v>30</v>
      </c>
      <c r="D209" s="1" t="s">
        <v>61</v>
      </c>
      <c r="E209" s="1">
        <v>69170</v>
      </c>
      <c r="F209" s="1" t="s">
        <v>713</v>
      </c>
      <c r="G209" s="2">
        <v>45269</v>
      </c>
      <c r="I209" s="3">
        <v>6</v>
      </c>
      <c r="J209" s="3">
        <v>3</v>
      </c>
      <c r="K209" s="4">
        <v>0.5</v>
      </c>
      <c r="L209" s="3">
        <v>3</v>
      </c>
      <c r="M209" s="3">
        <v>0</v>
      </c>
      <c r="N209" s="4">
        <v>0</v>
      </c>
      <c r="O209" s="3">
        <v>3</v>
      </c>
      <c r="P209" s="3">
        <v>3</v>
      </c>
      <c r="Q209" s="4">
        <v>0.5</v>
      </c>
      <c r="R209" s="3" t="str">
        <f t="shared" si="3"/>
        <v>教学一区</v>
      </c>
    </row>
    <row r="210" spans="1:18">
      <c r="A210" s="1" t="s">
        <v>544</v>
      </c>
      <c r="B210" s="1" t="s">
        <v>29</v>
      </c>
      <c r="C210" s="1" t="s">
        <v>30</v>
      </c>
      <c r="D210" s="1" t="s">
        <v>61</v>
      </c>
      <c r="E210" s="1">
        <v>21050</v>
      </c>
      <c r="F210" s="1" t="s">
        <v>521</v>
      </c>
      <c r="G210" s="2">
        <v>43987</v>
      </c>
      <c r="I210" s="3">
        <v>18</v>
      </c>
      <c r="J210" s="3">
        <v>8</v>
      </c>
      <c r="K210" s="4">
        <v>0.444444444444444</v>
      </c>
      <c r="L210" s="3">
        <v>13</v>
      </c>
      <c r="M210" s="3">
        <v>6</v>
      </c>
      <c r="N210" s="4">
        <v>0.333333333333333</v>
      </c>
      <c r="O210" s="3">
        <v>5</v>
      </c>
      <c r="P210" s="3">
        <v>2</v>
      </c>
      <c r="Q210" s="4">
        <v>0.111111111111111</v>
      </c>
      <c r="R210" s="3" t="str">
        <f t="shared" si="3"/>
        <v>教学一区</v>
      </c>
    </row>
    <row r="211" spans="1:18">
      <c r="A211" s="1" t="s">
        <v>544</v>
      </c>
      <c r="B211" s="1" t="s">
        <v>29</v>
      </c>
      <c r="C211" s="1" t="s">
        <v>30</v>
      </c>
      <c r="D211" s="1" t="s">
        <v>61</v>
      </c>
      <c r="E211" s="1">
        <v>50228</v>
      </c>
      <c r="F211" s="1" t="s">
        <v>461</v>
      </c>
      <c r="G211" s="2">
        <v>44301</v>
      </c>
      <c r="I211" s="3">
        <v>2</v>
      </c>
      <c r="J211" s="3">
        <v>2</v>
      </c>
      <c r="K211" s="4">
        <v>1</v>
      </c>
      <c r="L211" s="3">
        <v>1</v>
      </c>
      <c r="M211" s="3">
        <v>1</v>
      </c>
      <c r="N211" s="4">
        <v>0.5</v>
      </c>
      <c r="O211" s="3">
        <v>1</v>
      </c>
      <c r="P211" s="3">
        <v>1</v>
      </c>
      <c r="Q211" s="4">
        <v>0.5</v>
      </c>
      <c r="R211" s="3" t="str">
        <f t="shared" si="3"/>
        <v>教学一区</v>
      </c>
    </row>
    <row r="212" spans="1:18">
      <c r="A212" s="1" t="s">
        <v>544</v>
      </c>
      <c r="B212" s="1" t="s">
        <v>29</v>
      </c>
      <c r="C212" s="1" t="s">
        <v>30</v>
      </c>
      <c r="D212" s="1" t="s">
        <v>61</v>
      </c>
      <c r="E212" s="1">
        <v>26697</v>
      </c>
      <c r="F212" s="1" t="s">
        <v>714</v>
      </c>
      <c r="G212" s="2">
        <v>44294</v>
      </c>
      <c r="I212" s="3">
        <v>18</v>
      </c>
      <c r="J212" s="3">
        <v>9</v>
      </c>
      <c r="K212" s="4">
        <v>0.5</v>
      </c>
      <c r="L212" s="3">
        <v>12</v>
      </c>
      <c r="M212" s="3">
        <v>6</v>
      </c>
      <c r="N212" s="4">
        <v>0.333333333333333</v>
      </c>
      <c r="O212" s="3">
        <v>6</v>
      </c>
      <c r="P212" s="3">
        <v>3</v>
      </c>
      <c r="Q212" s="4">
        <v>0.166666666666667</v>
      </c>
      <c r="R212" s="3" t="str">
        <f t="shared" si="3"/>
        <v>教学一区</v>
      </c>
    </row>
    <row r="213" spans="1:18">
      <c r="A213" s="1" t="s">
        <v>544</v>
      </c>
      <c r="B213" s="1" t="s">
        <v>29</v>
      </c>
      <c r="C213" s="1" t="s">
        <v>30</v>
      </c>
      <c r="D213" s="1" t="s">
        <v>61</v>
      </c>
      <c r="E213" s="1">
        <v>51177</v>
      </c>
      <c r="F213" s="1" t="s">
        <v>715</v>
      </c>
      <c r="G213" s="2">
        <v>44335</v>
      </c>
      <c r="I213" s="3">
        <v>20</v>
      </c>
      <c r="J213" s="3">
        <v>8</v>
      </c>
      <c r="K213" s="4">
        <v>0.4</v>
      </c>
      <c r="L213" s="3">
        <v>15</v>
      </c>
      <c r="M213" s="3">
        <v>6</v>
      </c>
      <c r="N213" s="4">
        <v>0.3</v>
      </c>
      <c r="O213" s="3">
        <v>5</v>
      </c>
      <c r="P213" s="3">
        <v>2</v>
      </c>
      <c r="Q213" s="4">
        <v>0.1</v>
      </c>
      <c r="R213" s="3" t="str">
        <f t="shared" si="3"/>
        <v>教学一区</v>
      </c>
    </row>
    <row r="214" spans="1:18">
      <c r="A214" s="1" t="s">
        <v>544</v>
      </c>
      <c r="B214" s="1" t="s">
        <v>29</v>
      </c>
      <c r="C214" s="1" t="s">
        <v>41</v>
      </c>
      <c r="D214" s="1" t="s">
        <v>98</v>
      </c>
      <c r="E214" s="1">
        <v>15367</v>
      </c>
      <c r="F214" s="1" t="s">
        <v>716</v>
      </c>
      <c r="G214" s="2">
        <v>43917</v>
      </c>
      <c r="I214" s="3">
        <v>11</v>
      </c>
      <c r="J214" s="3">
        <v>5</v>
      </c>
      <c r="K214" s="4">
        <v>0.454545454545455</v>
      </c>
      <c r="L214" s="3">
        <v>10</v>
      </c>
      <c r="M214" s="3">
        <v>4</v>
      </c>
      <c r="N214" s="4">
        <v>0.363636363636364</v>
      </c>
      <c r="O214" s="3">
        <v>1</v>
      </c>
      <c r="P214" s="3">
        <v>1</v>
      </c>
      <c r="Q214" s="4">
        <v>0.0909090909090909</v>
      </c>
      <c r="R214" s="3" t="str">
        <f t="shared" si="3"/>
        <v>教学一区</v>
      </c>
    </row>
    <row r="215" spans="1:18">
      <c r="A215" s="1" t="s">
        <v>544</v>
      </c>
      <c r="B215" s="1" t="s">
        <v>29</v>
      </c>
      <c r="C215" s="1" t="s">
        <v>41</v>
      </c>
      <c r="D215" s="1" t="s">
        <v>98</v>
      </c>
      <c r="E215" s="1">
        <v>62778</v>
      </c>
      <c r="F215" s="1" t="s">
        <v>717</v>
      </c>
      <c r="G215" s="2">
        <v>45220</v>
      </c>
      <c r="I215" s="3">
        <v>25</v>
      </c>
      <c r="J215" s="3">
        <v>12</v>
      </c>
      <c r="K215" s="4">
        <v>0.48</v>
      </c>
      <c r="L215" s="3">
        <v>5</v>
      </c>
      <c r="M215" s="3">
        <v>1</v>
      </c>
      <c r="N215" s="4">
        <v>0.04</v>
      </c>
      <c r="O215" s="3">
        <v>20</v>
      </c>
      <c r="P215" s="3">
        <v>11</v>
      </c>
      <c r="Q215" s="4">
        <v>0.44</v>
      </c>
      <c r="R215" s="3" t="str">
        <f t="shared" si="3"/>
        <v>教学一区</v>
      </c>
    </row>
    <row r="216" spans="1:18">
      <c r="A216" s="1" t="s">
        <v>544</v>
      </c>
      <c r="B216" s="1" t="s">
        <v>29</v>
      </c>
      <c r="C216" s="1" t="s">
        <v>41</v>
      </c>
      <c r="D216" s="1" t="s">
        <v>98</v>
      </c>
      <c r="E216" s="1">
        <v>15305</v>
      </c>
      <c r="F216" s="1" t="s">
        <v>494</v>
      </c>
      <c r="G216" s="2">
        <v>43910</v>
      </c>
      <c r="I216" s="3">
        <v>3</v>
      </c>
      <c r="J216" s="3">
        <v>1</v>
      </c>
      <c r="K216" s="4">
        <v>0.333333333333333</v>
      </c>
      <c r="L216" s="3">
        <v>1</v>
      </c>
      <c r="M216" s="3">
        <v>0</v>
      </c>
      <c r="N216" s="4">
        <v>0</v>
      </c>
      <c r="O216" s="3">
        <v>2</v>
      </c>
      <c r="P216" s="3">
        <v>1</v>
      </c>
      <c r="Q216" s="4">
        <v>0.333333333333333</v>
      </c>
      <c r="R216" s="3" t="str">
        <f t="shared" si="3"/>
        <v>教学一区</v>
      </c>
    </row>
    <row r="217" spans="1:18">
      <c r="A217" s="1" t="s">
        <v>544</v>
      </c>
      <c r="B217" s="1" t="s">
        <v>29</v>
      </c>
      <c r="C217" s="1" t="s">
        <v>41</v>
      </c>
      <c r="D217" s="1" t="s">
        <v>98</v>
      </c>
      <c r="E217" s="1">
        <v>70551</v>
      </c>
      <c r="F217" s="1" t="s">
        <v>718</v>
      </c>
      <c r="G217" s="2">
        <v>45437</v>
      </c>
      <c r="I217" s="3">
        <v>9</v>
      </c>
      <c r="J217" s="3">
        <v>5</v>
      </c>
      <c r="K217" s="4">
        <v>0.555555555555556</v>
      </c>
      <c r="L217" s="3">
        <v>0</v>
      </c>
      <c r="M217" s="3">
        <v>0</v>
      </c>
      <c r="N217" s="4">
        <v>0</v>
      </c>
      <c r="O217" s="3">
        <v>9</v>
      </c>
      <c r="P217" s="3">
        <v>5</v>
      </c>
      <c r="Q217" s="4">
        <v>0.555555555555556</v>
      </c>
      <c r="R217" s="3" t="str">
        <f t="shared" si="3"/>
        <v>教学一区</v>
      </c>
    </row>
    <row r="218" spans="1:18">
      <c r="A218" s="1" t="s">
        <v>544</v>
      </c>
      <c r="B218" s="1" t="s">
        <v>29</v>
      </c>
      <c r="C218" s="1" t="s">
        <v>41</v>
      </c>
      <c r="D218" s="1" t="s">
        <v>98</v>
      </c>
      <c r="E218" s="1">
        <v>1299</v>
      </c>
      <c r="F218" s="1" t="s">
        <v>719</v>
      </c>
      <c r="G218" s="2">
        <v>43298</v>
      </c>
      <c r="I218" s="3">
        <v>18</v>
      </c>
      <c r="J218" s="3">
        <v>9</v>
      </c>
      <c r="K218" s="4">
        <v>0.5</v>
      </c>
      <c r="L218" s="3">
        <v>11</v>
      </c>
      <c r="M218" s="3">
        <v>8</v>
      </c>
      <c r="N218" s="4">
        <v>0.444444444444444</v>
      </c>
      <c r="O218" s="3">
        <v>7</v>
      </c>
      <c r="P218" s="3">
        <v>1</v>
      </c>
      <c r="Q218" s="4">
        <v>0.0555555555555556</v>
      </c>
      <c r="R218" s="3" t="str">
        <f t="shared" si="3"/>
        <v>教学一区</v>
      </c>
    </row>
    <row r="219" spans="1:18">
      <c r="A219" s="1" t="s">
        <v>544</v>
      </c>
      <c r="B219" s="1" t="s">
        <v>29</v>
      </c>
      <c r="C219" s="1" t="s">
        <v>41</v>
      </c>
      <c r="D219" s="1" t="s">
        <v>98</v>
      </c>
      <c r="E219" s="1">
        <v>13150</v>
      </c>
      <c r="F219" s="1" t="s">
        <v>454</v>
      </c>
      <c r="G219" s="2">
        <v>43909</v>
      </c>
      <c r="I219" s="3">
        <v>2</v>
      </c>
      <c r="J219" s="3">
        <v>2</v>
      </c>
      <c r="K219" s="4">
        <v>1</v>
      </c>
      <c r="L219" s="3">
        <v>1</v>
      </c>
      <c r="M219" s="3">
        <v>1</v>
      </c>
      <c r="N219" s="4">
        <v>0.5</v>
      </c>
      <c r="O219" s="3">
        <v>1</v>
      </c>
      <c r="P219" s="3">
        <v>1</v>
      </c>
      <c r="Q219" s="4">
        <v>0.5</v>
      </c>
      <c r="R219" s="3" t="str">
        <f t="shared" si="3"/>
        <v>教学一区</v>
      </c>
    </row>
    <row r="220" spans="1:18">
      <c r="A220" s="1" t="s">
        <v>544</v>
      </c>
      <c r="B220" s="1" t="s">
        <v>29</v>
      </c>
      <c r="C220" s="1" t="s">
        <v>41</v>
      </c>
      <c r="D220" s="1" t="s">
        <v>98</v>
      </c>
      <c r="E220" s="1">
        <v>5431</v>
      </c>
      <c r="F220" s="1" t="s">
        <v>720</v>
      </c>
      <c r="G220" s="2">
        <v>43755</v>
      </c>
      <c r="I220" s="3">
        <v>15</v>
      </c>
      <c r="J220" s="3">
        <v>7</v>
      </c>
      <c r="K220" s="4">
        <v>0.466666666666667</v>
      </c>
      <c r="L220" s="3">
        <v>12</v>
      </c>
      <c r="M220" s="3">
        <v>5</v>
      </c>
      <c r="N220" s="4">
        <v>0.333333333333333</v>
      </c>
      <c r="O220" s="3">
        <v>3</v>
      </c>
      <c r="P220" s="3">
        <v>2</v>
      </c>
      <c r="Q220" s="4">
        <v>0.133333333333333</v>
      </c>
      <c r="R220" s="3" t="str">
        <f t="shared" si="3"/>
        <v>教学一区</v>
      </c>
    </row>
    <row r="221" spans="1:18">
      <c r="A221" s="1" t="s">
        <v>544</v>
      </c>
      <c r="B221" s="1" t="s">
        <v>29</v>
      </c>
      <c r="C221" s="1" t="s">
        <v>41</v>
      </c>
      <c r="D221" s="1" t="s">
        <v>98</v>
      </c>
      <c r="E221" s="1">
        <v>70552</v>
      </c>
      <c r="F221" s="1" t="s">
        <v>99</v>
      </c>
      <c r="G221" s="2">
        <v>45437</v>
      </c>
      <c r="I221" s="3">
        <v>6</v>
      </c>
      <c r="J221" s="3">
        <v>2</v>
      </c>
      <c r="K221" s="4">
        <v>0.333333333333333</v>
      </c>
      <c r="L221" s="3">
        <v>0</v>
      </c>
      <c r="M221" s="3">
        <v>0</v>
      </c>
      <c r="N221" s="4">
        <v>0</v>
      </c>
      <c r="O221" s="3">
        <v>6</v>
      </c>
      <c r="P221" s="3">
        <v>2</v>
      </c>
      <c r="Q221" s="4">
        <v>0.333333333333333</v>
      </c>
      <c r="R221" s="3" t="str">
        <f t="shared" si="3"/>
        <v>教学一区</v>
      </c>
    </row>
    <row r="222" spans="1:18">
      <c r="A222" s="1" t="s">
        <v>544</v>
      </c>
      <c r="B222" s="1" t="s">
        <v>29</v>
      </c>
      <c r="C222" s="1" t="s">
        <v>41</v>
      </c>
      <c r="D222" s="1" t="s">
        <v>98</v>
      </c>
      <c r="E222" s="1">
        <v>2317</v>
      </c>
      <c r="F222" s="1" t="s">
        <v>721</v>
      </c>
      <c r="G222" s="2">
        <v>43491</v>
      </c>
      <c r="I222" s="3">
        <v>18</v>
      </c>
      <c r="J222" s="3">
        <v>8</v>
      </c>
      <c r="K222" s="4">
        <v>0.444444444444444</v>
      </c>
      <c r="L222" s="3">
        <v>9</v>
      </c>
      <c r="M222" s="3">
        <v>4</v>
      </c>
      <c r="N222" s="4">
        <v>0.222222222222222</v>
      </c>
      <c r="O222" s="3">
        <v>9</v>
      </c>
      <c r="P222" s="3">
        <v>4</v>
      </c>
      <c r="Q222" s="4">
        <v>0.222222222222222</v>
      </c>
      <c r="R222" s="3" t="str">
        <f t="shared" si="3"/>
        <v>教学一区</v>
      </c>
    </row>
    <row r="223" spans="1:18">
      <c r="A223" s="1" t="s">
        <v>544</v>
      </c>
      <c r="B223" s="1" t="s">
        <v>29</v>
      </c>
      <c r="C223" s="1" t="s">
        <v>41</v>
      </c>
      <c r="D223" s="1" t="s">
        <v>722</v>
      </c>
      <c r="E223" s="1">
        <v>4465</v>
      </c>
      <c r="F223" s="1" t="s">
        <v>723</v>
      </c>
      <c r="G223" s="2">
        <v>43701</v>
      </c>
      <c r="I223" s="3">
        <v>14</v>
      </c>
      <c r="J223" s="3">
        <v>6</v>
      </c>
      <c r="K223" s="4">
        <v>0.428571428571429</v>
      </c>
      <c r="L223" s="3">
        <v>2</v>
      </c>
      <c r="M223" s="3">
        <v>0</v>
      </c>
      <c r="N223" s="4">
        <v>0</v>
      </c>
      <c r="O223" s="3">
        <v>12</v>
      </c>
      <c r="P223" s="3">
        <v>6</v>
      </c>
      <c r="Q223" s="4">
        <v>0.428571428571429</v>
      </c>
      <c r="R223" s="3" t="str">
        <f t="shared" si="3"/>
        <v>教学一区</v>
      </c>
    </row>
    <row r="224" spans="1:18">
      <c r="A224" s="1" t="s">
        <v>544</v>
      </c>
      <c r="B224" s="1" t="s">
        <v>29</v>
      </c>
      <c r="C224" s="1" t="s">
        <v>41</v>
      </c>
      <c r="D224" s="1" t="s">
        <v>722</v>
      </c>
      <c r="E224" s="1">
        <v>2484</v>
      </c>
      <c r="F224" s="1" t="s">
        <v>724</v>
      </c>
      <c r="G224" s="2">
        <v>43539</v>
      </c>
      <c r="I224" s="3">
        <v>21</v>
      </c>
      <c r="J224" s="3">
        <v>10</v>
      </c>
      <c r="K224" s="4">
        <v>0.476190476190476</v>
      </c>
      <c r="L224" s="3">
        <v>16</v>
      </c>
      <c r="M224" s="3">
        <v>8</v>
      </c>
      <c r="N224" s="4">
        <v>0.380952380952381</v>
      </c>
      <c r="O224" s="3">
        <v>5</v>
      </c>
      <c r="P224" s="3">
        <v>2</v>
      </c>
      <c r="Q224" s="4">
        <v>0.0952380952380952</v>
      </c>
      <c r="R224" s="3" t="str">
        <f t="shared" si="3"/>
        <v>教学一区</v>
      </c>
    </row>
    <row r="225" spans="1:18">
      <c r="A225" s="1" t="s">
        <v>544</v>
      </c>
      <c r="B225" s="1" t="s">
        <v>29</v>
      </c>
      <c r="C225" s="1" t="s">
        <v>41</v>
      </c>
      <c r="D225" s="1" t="s">
        <v>722</v>
      </c>
      <c r="E225" s="1">
        <v>4070</v>
      </c>
      <c r="F225" s="1" t="s">
        <v>725</v>
      </c>
      <c r="G225" s="2">
        <v>43665</v>
      </c>
      <c r="I225" s="3">
        <v>22</v>
      </c>
      <c r="J225" s="3">
        <v>8</v>
      </c>
      <c r="K225" s="4">
        <v>0.363636363636364</v>
      </c>
      <c r="L225" s="3">
        <v>4</v>
      </c>
      <c r="M225" s="3">
        <v>0</v>
      </c>
      <c r="N225" s="4">
        <v>0</v>
      </c>
      <c r="O225" s="3">
        <v>18</v>
      </c>
      <c r="P225" s="3">
        <v>8</v>
      </c>
      <c r="Q225" s="4">
        <v>0.363636363636364</v>
      </c>
      <c r="R225" s="3" t="str">
        <f t="shared" si="3"/>
        <v>教学一区</v>
      </c>
    </row>
    <row r="226" spans="1:18">
      <c r="A226" s="1" t="s">
        <v>544</v>
      </c>
      <c r="B226" s="1" t="s">
        <v>29</v>
      </c>
      <c r="C226" s="1" t="s">
        <v>41</v>
      </c>
      <c r="D226" s="1" t="s">
        <v>722</v>
      </c>
      <c r="E226" s="1">
        <v>6185</v>
      </c>
      <c r="F226" s="1" t="s">
        <v>726</v>
      </c>
      <c r="G226" s="2">
        <v>43790</v>
      </c>
      <c r="I226" s="3">
        <v>22</v>
      </c>
      <c r="J226" s="3">
        <v>9</v>
      </c>
      <c r="K226" s="4">
        <v>0.409090909090909</v>
      </c>
      <c r="L226" s="3">
        <v>12</v>
      </c>
      <c r="M226" s="3">
        <v>5</v>
      </c>
      <c r="N226" s="4">
        <v>0.227272727272727</v>
      </c>
      <c r="O226" s="3">
        <v>10</v>
      </c>
      <c r="P226" s="3">
        <v>4</v>
      </c>
      <c r="Q226" s="4">
        <v>0.181818181818182</v>
      </c>
      <c r="R226" s="3" t="str">
        <f t="shared" si="3"/>
        <v>教学一区</v>
      </c>
    </row>
    <row r="227" spans="1:18">
      <c r="A227" s="1" t="s">
        <v>544</v>
      </c>
      <c r="B227" s="1" t="s">
        <v>29</v>
      </c>
      <c r="C227" s="1" t="s">
        <v>41</v>
      </c>
      <c r="D227" s="1" t="s">
        <v>722</v>
      </c>
      <c r="E227" s="1">
        <v>69304</v>
      </c>
      <c r="F227" s="1" t="s">
        <v>445</v>
      </c>
      <c r="G227" s="2">
        <v>45283</v>
      </c>
      <c r="I227" s="3">
        <v>2</v>
      </c>
      <c r="J227" s="3">
        <v>0</v>
      </c>
      <c r="K227" s="4">
        <v>0</v>
      </c>
      <c r="L227" s="3">
        <v>2</v>
      </c>
      <c r="M227" s="3">
        <v>0</v>
      </c>
      <c r="N227" s="4">
        <v>0</v>
      </c>
      <c r="O227" s="3">
        <v>0</v>
      </c>
      <c r="P227" s="3">
        <v>0</v>
      </c>
      <c r="Q227" s="4">
        <v>0</v>
      </c>
      <c r="R227" s="3" t="str">
        <f t="shared" si="3"/>
        <v>教学一区</v>
      </c>
    </row>
    <row r="228" spans="1:18">
      <c r="A228" s="1" t="s">
        <v>544</v>
      </c>
      <c r="B228" s="1" t="s">
        <v>29</v>
      </c>
      <c r="C228" s="1" t="s">
        <v>41</v>
      </c>
      <c r="D228" s="1" t="s">
        <v>722</v>
      </c>
      <c r="E228" s="1">
        <v>70299</v>
      </c>
      <c r="F228" s="1" t="s">
        <v>485</v>
      </c>
      <c r="G228" s="2">
        <v>45409</v>
      </c>
      <c r="I228" s="3">
        <v>21</v>
      </c>
      <c r="J228" s="3">
        <v>15</v>
      </c>
      <c r="K228" s="4">
        <v>0.714285714285714</v>
      </c>
      <c r="L228" s="3">
        <v>2</v>
      </c>
      <c r="M228" s="3">
        <v>1</v>
      </c>
      <c r="N228" s="4">
        <v>0.0476190476190476</v>
      </c>
      <c r="O228" s="3">
        <v>19</v>
      </c>
      <c r="P228" s="3">
        <v>14</v>
      </c>
      <c r="Q228" s="4">
        <v>0.666666666666667</v>
      </c>
      <c r="R228" s="3" t="str">
        <f t="shared" si="3"/>
        <v>教学一区</v>
      </c>
    </row>
    <row r="229" spans="1:18">
      <c r="A229" s="1" t="s">
        <v>544</v>
      </c>
      <c r="B229" s="1" t="s">
        <v>29</v>
      </c>
      <c r="C229" s="1" t="s">
        <v>41</v>
      </c>
      <c r="D229" s="1" t="s">
        <v>722</v>
      </c>
      <c r="E229" s="1">
        <v>2759</v>
      </c>
      <c r="F229" s="1" t="s">
        <v>470</v>
      </c>
      <c r="G229" s="2">
        <v>43555</v>
      </c>
      <c r="I229" s="3">
        <v>2</v>
      </c>
      <c r="J229" s="3">
        <v>1</v>
      </c>
      <c r="K229" s="4">
        <v>0.5</v>
      </c>
      <c r="L229" s="3">
        <v>1</v>
      </c>
      <c r="M229" s="3">
        <v>0</v>
      </c>
      <c r="N229" s="4">
        <v>0</v>
      </c>
      <c r="O229" s="3">
        <v>1</v>
      </c>
      <c r="P229" s="3">
        <v>1</v>
      </c>
      <c r="Q229" s="4">
        <v>0.5</v>
      </c>
      <c r="R229" s="3" t="str">
        <f t="shared" si="3"/>
        <v>教学一区</v>
      </c>
    </row>
    <row r="230" spans="1:18">
      <c r="A230" s="1" t="s">
        <v>544</v>
      </c>
      <c r="B230" s="1" t="s">
        <v>29</v>
      </c>
      <c r="C230" s="1" t="s">
        <v>41</v>
      </c>
      <c r="D230" s="1" t="s">
        <v>722</v>
      </c>
      <c r="E230" s="1">
        <v>4696</v>
      </c>
      <c r="F230" s="1" t="s">
        <v>488</v>
      </c>
      <c r="G230" s="2">
        <v>43714</v>
      </c>
      <c r="I230" s="3">
        <v>18</v>
      </c>
      <c r="J230" s="3">
        <v>11</v>
      </c>
      <c r="K230" s="4">
        <v>0.611111111111111</v>
      </c>
      <c r="L230" s="3">
        <v>2</v>
      </c>
      <c r="M230" s="3">
        <v>0</v>
      </c>
      <c r="N230" s="4">
        <v>0</v>
      </c>
      <c r="O230" s="3">
        <v>16</v>
      </c>
      <c r="P230" s="3">
        <v>11</v>
      </c>
      <c r="Q230" s="4">
        <v>0.611111111111111</v>
      </c>
      <c r="R230" s="3" t="str">
        <f t="shared" si="3"/>
        <v>教学一区</v>
      </c>
    </row>
    <row r="231" spans="1:18">
      <c r="A231" s="1" t="s">
        <v>544</v>
      </c>
      <c r="B231" s="1" t="s">
        <v>29</v>
      </c>
      <c r="C231" s="1" t="s">
        <v>41</v>
      </c>
      <c r="D231" s="1" t="s">
        <v>722</v>
      </c>
      <c r="E231" s="1">
        <v>2300</v>
      </c>
      <c r="F231" s="1" t="s">
        <v>727</v>
      </c>
      <c r="G231" s="2">
        <v>43483</v>
      </c>
      <c r="I231" s="3">
        <v>15</v>
      </c>
      <c r="J231" s="3">
        <v>6</v>
      </c>
      <c r="K231" s="4">
        <v>0.4</v>
      </c>
      <c r="L231" s="3">
        <v>11</v>
      </c>
      <c r="M231" s="3">
        <v>5</v>
      </c>
      <c r="N231" s="4">
        <v>0.333333333333333</v>
      </c>
      <c r="O231" s="3">
        <v>4</v>
      </c>
      <c r="P231" s="3">
        <v>1</v>
      </c>
      <c r="Q231" s="4">
        <v>0.0666666666666667</v>
      </c>
      <c r="R231" s="3" t="str">
        <f t="shared" si="3"/>
        <v>教学一区</v>
      </c>
    </row>
    <row r="232" spans="1:18">
      <c r="A232" s="1" t="s">
        <v>544</v>
      </c>
      <c r="B232" s="1" t="s">
        <v>29</v>
      </c>
      <c r="C232" s="1" t="s">
        <v>41</v>
      </c>
      <c r="D232" s="1" t="s">
        <v>42</v>
      </c>
      <c r="E232" s="1">
        <v>21949</v>
      </c>
      <c r="F232" s="1" t="s">
        <v>43</v>
      </c>
      <c r="G232" s="2">
        <v>44051</v>
      </c>
      <c r="I232" s="3">
        <v>8</v>
      </c>
      <c r="J232" s="3">
        <v>7</v>
      </c>
      <c r="K232" s="4">
        <v>0.875</v>
      </c>
      <c r="L232" s="3">
        <v>6</v>
      </c>
      <c r="M232" s="3">
        <v>6</v>
      </c>
      <c r="N232" s="4">
        <v>0.75</v>
      </c>
      <c r="O232" s="3">
        <v>2</v>
      </c>
      <c r="P232" s="3">
        <v>1</v>
      </c>
      <c r="Q232" s="4">
        <v>0.125</v>
      </c>
      <c r="R232" s="3" t="str">
        <f t="shared" si="3"/>
        <v>教学一区</v>
      </c>
    </row>
    <row r="233" spans="1:18">
      <c r="A233" s="1" t="s">
        <v>544</v>
      </c>
      <c r="B233" s="1" t="s">
        <v>29</v>
      </c>
      <c r="C233" s="1" t="s">
        <v>41</v>
      </c>
      <c r="D233" s="1" t="s">
        <v>42</v>
      </c>
      <c r="E233" s="1">
        <v>1356</v>
      </c>
      <c r="F233" s="1" t="s">
        <v>728</v>
      </c>
      <c r="G233" s="2">
        <v>43368</v>
      </c>
      <c r="I233" s="3">
        <v>15</v>
      </c>
      <c r="J233" s="3">
        <v>4</v>
      </c>
      <c r="K233" s="4">
        <v>0.266666666666667</v>
      </c>
      <c r="L233" s="3">
        <v>11</v>
      </c>
      <c r="M233" s="3">
        <v>3</v>
      </c>
      <c r="N233" s="4">
        <v>0.2</v>
      </c>
      <c r="O233" s="3">
        <v>4</v>
      </c>
      <c r="P233" s="3">
        <v>1</v>
      </c>
      <c r="Q233" s="4">
        <v>0.0666666666666667</v>
      </c>
      <c r="R233" s="3" t="str">
        <f t="shared" si="3"/>
        <v>教学一区</v>
      </c>
    </row>
    <row r="234" spans="1:18">
      <c r="A234" s="1" t="s">
        <v>544</v>
      </c>
      <c r="B234" s="1" t="s">
        <v>29</v>
      </c>
      <c r="C234" s="1" t="s">
        <v>41</v>
      </c>
      <c r="D234" s="1" t="s">
        <v>42</v>
      </c>
      <c r="E234" s="1">
        <v>5404</v>
      </c>
      <c r="F234" s="1" t="s">
        <v>729</v>
      </c>
      <c r="G234" s="2">
        <v>43762</v>
      </c>
      <c r="I234" s="3">
        <v>19</v>
      </c>
      <c r="J234" s="3">
        <v>11</v>
      </c>
      <c r="K234" s="4">
        <v>0.578947368421053</v>
      </c>
      <c r="L234" s="3">
        <v>7</v>
      </c>
      <c r="M234" s="3">
        <v>3</v>
      </c>
      <c r="N234" s="4">
        <v>0.157894736842105</v>
      </c>
      <c r="O234" s="3">
        <v>12</v>
      </c>
      <c r="P234" s="3">
        <v>8</v>
      </c>
      <c r="Q234" s="4">
        <v>0.421052631578947</v>
      </c>
      <c r="R234" s="3" t="str">
        <f t="shared" si="3"/>
        <v>教学一区</v>
      </c>
    </row>
    <row r="235" spans="1:18">
      <c r="A235" s="1" t="s">
        <v>544</v>
      </c>
      <c r="B235" s="1" t="s">
        <v>44</v>
      </c>
      <c r="C235" s="1" t="s">
        <v>67</v>
      </c>
      <c r="D235" s="1" t="s">
        <v>1</v>
      </c>
      <c r="E235" s="1">
        <v>4100</v>
      </c>
      <c r="F235" s="1" t="s">
        <v>428</v>
      </c>
      <c r="G235" s="2">
        <v>43665</v>
      </c>
      <c r="I235" s="3">
        <v>2</v>
      </c>
      <c r="J235" s="3">
        <v>2</v>
      </c>
      <c r="K235" s="4">
        <v>1</v>
      </c>
      <c r="L235" s="3">
        <v>1</v>
      </c>
      <c r="M235" s="3">
        <v>1</v>
      </c>
      <c r="N235" s="4">
        <v>0.5</v>
      </c>
      <c r="O235" s="3">
        <v>1</v>
      </c>
      <c r="P235" s="3">
        <v>1</v>
      </c>
      <c r="Q235" s="4">
        <v>0.5</v>
      </c>
      <c r="R235" s="3" t="str">
        <f t="shared" si="3"/>
        <v>教学二区</v>
      </c>
    </row>
    <row r="236" spans="1:18">
      <c r="A236" s="1" t="s">
        <v>544</v>
      </c>
      <c r="B236" s="1" t="s">
        <v>48</v>
      </c>
      <c r="C236" s="1" t="s">
        <v>49</v>
      </c>
      <c r="D236" s="1" t="s">
        <v>1</v>
      </c>
      <c r="E236" s="1">
        <v>3182</v>
      </c>
      <c r="F236" s="1" t="s">
        <v>50</v>
      </c>
      <c r="G236" s="2">
        <v>43648</v>
      </c>
      <c r="I236" s="3">
        <v>12</v>
      </c>
      <c r="J236" s="3">
        <v>10</v>
      </c>
      <c r="K236" s="4">
        <v>0.833333333333333</v>
      </c>
      <c r="L236" s="3">
        <v>8</v>
      </c>
      <c r="M236" s="3">
        <v>7</v>
      </c>
      <c r="N236" s="4">
        <v>0.583333333333333</v>
      </c>
      <c r="O236" s="3">
        <v>4</v>
      </c>
      <c r="P236" s="3">
        <v>3</v>
      </c>
      <c r="Q236" s="4">
        <v>0.25</v>
      </c>
      <c r="R236" s="3" t="str">
        <f t="shared" si="3"/>
        <v>教学三区</v>
      </c>
    </row>
    <row r="237" spans="1:18">
      <c r="A237" s="1" t="s">
        <v>544</v>
      </c>
      <c r="B237" s="1" t="s">
        <v>48</v>
      </c>
      <c r="C237" s="1" t="s">
        <v>64</v>
      </c>
      <c r="D237" s="1" t="s">
        <v>75</v>
      </c>
      <c r="E237" s="1">
        <v>62627</v>
      </c>
      <c r="F237" s="1" t="s">
        <v>730</v>
      </c>
      <c r="G237" s="2">
        <v>44981</v>
      </c>
      <c r="I237" s="3">
        <v>14</v>
      </c>
      <c r="J237" s="3">
        <v>6</v>
      </c>
      <c r="K237" s="4">
        <v>0.428571428571429</v>
      </c>
      <c r="L237" s="3">
        <v>8</v>
      </c>
      <c r="M237" s="3">
        <v>4</v>
      </c>
      <c r="N237" s="4">
        <v>0.285714285714286</v>
      </c>
      <c r="O237" s="3">
        <v>6</v>
      </c>
      <c r="P237" s="3">
        <v>2</v>
      </c>
      <c r="Q237" s="4">
        <v>0.142857142857143</v>
      </c>
      <c r="R237" s="3" t="str">
        <f t="shared" si="3"/>
        <v>教学三区</v>
      </c>
    </row>
    <row r="238" spans="1:18">
      <c r="A238" s="1" t="s">
        <v>544</v>
      </c>
      <c r="B238" s="1" t="s">
        <v>48</v>
      </c>
      <c r="C238" s="1" t="s">
        <v>64</v>
      </c>
      <c r="D238" s="1" t="s">
        <v>75</v>
      </c>
      <c r="E238" s="1">
        <v>4906</v>
      </c>
      <c r="F238" s="1" t="s">
        <v>731</v>
      </c>
      <c r="G238" s="2">
        <v>43734</v>
      </c>
      <c r="I238" s="3">
        <v>12</v>
      </c>
      <c r="J238" s="3">
        <v>6</v>
      </c>
      <c r="K238" s="4">
        <v>0.5</v>
      </c>
      <c r="L238" s="3">
        <v>7</v>
      </c>
      <c r="M238" s="3">
        <v>4</v>
      </c>
      <c r="N238" s="4">
        <v>0.333333333333333</v>
      </c>
      <c r="O238" s="3">
        <v>5</v>
      </c>
      <c r="P238" s="3">
        <v>2</v>
      </c>
      <c r="Q238" s="4">
        <v>0.166666666666667</v>
      </c>
      <c r="R238" s="3" t="str">
        <f t="shared" si="3"/>
        <v>教学三区</v>
      </c>
    </row>
    <row r="239" spans="1:18">
      <c r="A239" s="1" t="s">
        <v>544</v>
      </c>
      <c r="B239" s="1" t="s">
        <v>48</v>
      </c>
      <c r="C239" s="1" t="s">
        <v>64</v>
      </c>
      <c r="D239" s="1" t="s">
        <v>75</v>
      </c>
      <c r="E239" s="1">
        <v>61876</v>
      </c>
      <c r="F239" s="1" t="s">
        <v>732</v>
      </c>
      <c r="G239" s="2">
        <v>44855</v>
      </c>
      <c r="I239" s="3">
        <v>26</v>
      </c>
      <c r="J239" s="3">
        <v>11</v>
      </c>
      <c r="K239" s="4">
        <v>0.423076923076923</v>
      </c>
      <c r="L239" s="3">
        <v>6</v>
      </c>
      <c r="M239" s="3">
        <v>4</v>
      </c>
      <c r="N239" s="4">
        <v>0.153846153846154</v>
      </c>
      <c r="O239" s="3">
        <v>20</v>
      </c>
      <c r="P239" s="3">
        <v>7</v>
      </c>
      <c r="Q239" s="4">
        <v>0.269230769230769</v>
      </c>
      <c r="R239" s="3" t="str">
        <f t="shared" si="3"/>
        <v>教学三区</v>
      </c>
    </row>
    <row r="240" spans="1:18">
      <c r="A240" s="1" t="s">
        <v>544</v>
      </c>
      <c r="B240" s="1" t="s">
        <v>48</v>
      </c>
      <c r="C240" s="1" t="s">
        <v>64</v>
      </c>
      <c r="D240" s="1" t="s">
        <v>75</v>
      </c>
      <c r="E240" s="1">
        <v>62437</v>
      </c>
      <c r="F240" s="1" t="s">
        <v>425</v>
      </c>
      <c r="G240" s="2">
        <v>44940</v>
      </c>
      <c r="I240" s="3">
        <v>8</v>
      </c>
      <c r="J240" s="3">
        <v>4</v>
      </c>
      <c r="K240" s="4">
        <v>0.5</v>
      </c>
      <c r="L240" s="3">
        <v>3</v>
      </c>
      <c r="M240" s="3">
        <v>2</v>
      </c>
      <c r="N240" s="4">
        <v>0.25</v>
      </c>
      <c r="O240" s="3">
        <v>5</v>
      </c>
      <c r="P240" s="3">
        <v>2</v>
      </c>
      <c r="Q240" s="4">
        <v>0.25</v>
      </c>
      <c r="R240" s="3" t="str">
        <f t="shared" si="3"/>
        <v>教学三区</v>
      </c>
    </row>
    <row r="241" spans="1:18">
      <c r="A241" s="1" t="s">
        <v>544</v>
      </c>
      <c r="B241" s="1" t="s">
        <v>48</v>
      </c>
      <c r="C241" s="1" t="s">
        <v>64</v>
      </c>
      <c r="D241" s="1" t="s">
        <v>75</v>
      </c>
      <c r="E241" s="1">
        <v>62623</v>
      </c>
      <c r="F241" s="1" t="s">
        <v>733</v>
      </c>
      <c r="G241" s="2">
        <v>44981</v>
      </c>
      <c r="I241" s="3">
        <v>9</v>
      </c>
      <c r="J241" s="3">
        <v>5</v>
      </c>
      <c r="K241" s="4">
        <v>0.555555555555556</v>
      </c>
      <c r="L241" s="3">
        <v>6</v>
      </c>
      <c r="M241" s="3">
        <v>4</v>
      </c>
      <c r="N241" s="4">
        <v>0.444444444444444</v>
      </c>
      <c r="O241" s="3">
        <v>3</v>
      </c>
      <c r="P241" s="3">
        <v>1</v>
      </c>
      <c r="Q241" s="4">
        <v>0.111111111111111</v>
      </c>
      <c r="R241" s="3" t="str">
        <f t="shared" si="3"/>
        <v>教学三区</v>
      </c>
    </row>
    <row r="242" spans="1:18">
      <c r="A242" s="1" t="s">
        <v>544</v>
      </c>
      <c r="B242" s="1" t="s">
        <v>48</v>
      </c>
      <c r="C242" s="1" t="s">
        <v>64</v>
      </c>
      <c r="D242" s="1" t="s">
        <v>75</v>
      </c>
      <c r="E242" s="1">
        <v>62021</v>
      </c>
      <c r="F242" s="1" t="s">
        <v>734</v>
      </c>
      <c r="G242" s="2">
        <v>44867</v>
      </c>
      <c r="I242" s="3">
        <v>12</v>
      </c>
      <c r="J242" s="3">
        <v>7</v>
      </c>
      <c r="K242" s="4">
        <v>0.583333333333333</v>
      </c>
      <c r="L242" s="3">
        <v>7</v>
      </c>
      <c r="M242" s="3">
        <v>3</v>
      </c>
      <c r="N242" s="4">
        <v>0.25</v>
      </c>
      <c r="O242" s="3">
        <v>5</v>
      </c>
      <c r="P242" s="3">
        <v>4</v>
      </c>
      <c r="Q242" s="4">
        <v>0.333333333333333</v>
      </c>
      <c r="R242" s="3" t="str">
        <f t="shared" si="3"/>
        <v>教学三区</v>
      </c>
    </row>
    <row r="243" spans="1:18">
      <c r="A243" s="1" t="s">
        <v>544</v>
      </c>
      <c r="B243" s="1" t="s">
        <v>48</v>
      </c>
      <c r="C243" s="1" t="s">
        <v>64</v>
      </c>
      <c r="D243" s="1" t="s">
        <v>75</v>
      </c>
      <c r="E243" s="1">
        <v>4517</v>
      </c>
      <c r="F243" s="1" t="s">
        <v>735</v>
      </c>
      <c r="G243" s="2">
        <v>43706</v>
      </c>
      <c r="I243" s="3">
        <v>24</v>
      </c>
      <c r="J243" s="3">
        <v>7</v>
      </c>
      <c r="K243" s="4">
        <v>0.291666666666667</v>
      </c>
      <c r="L243" s="3">
        <v>13</v>
      </c>
      <c r="M243" s="3">
        <v>3</v>
      </c>
      <c r="N243" s="4">
        <v>0.125</v>
      </c>
      <c r="O243" s="3">
        <v>11</v>
      </c>
      <c r="P243" s="3">
        <v>4</v>
      </c>
      <c r="Q243" s="4">
        <v>0.166666666666667</v>
      </c>
      <c r="R243" s="3" t="str">
        <f t="shared" si="3"/>
        <v>教学三区</v>
      </c>
    </row>
    <row r="244" spans="1:18">
      <c r="A244" s="1" t="s">
        <v>544</v>
      </c>
      <c r="B244" s="1" t="s">
        <v>48</v>
      </c>
      <c r="C244" s="1" t="s">
        <v>64</v>
      </c>
      <c r="D244" s="1" t="s">
        <v>75</v>
      </c>
      <c r="E244" s="1">
        <v>1171</v>
      </c>
      <c r="F244" s="1" t="s">
        <v>736</v>
      </c>
      <c r="G244" s="2">
        <v>43282</v>
      </c>
      <c r="I244" s="3">
        <v>24</v>
      </c>
      <c r="J244" s="3">
        <v>11</v>
      </c>
      <c r="K244" s="4">
        <v>0.458333333333333</v>
      </c>
      <c r="L244" s="3">
        <v>12</v>
      </c>
      <c r="M244" s="3">
        <v>4</v>
      </c>
      <c r="N244" s="4">
        <v>0.166666666666667</v>
      </c>
      <c r="O244" s="3">
        <v>12</v>
      </c>
      <c r="P244" s="3">
        <v>7</v>
      </c>
      <c r="Q244" s="4">
        <v>0.291666666666667</v>
      </c>
      <c r="R244" s="3" t="str">
        <f t="shared" si="3"/>
        <v>教学三区</v>
      </c>
    </row>
    <row r="245" spans="1:18">
      <c r="A245" s="1" t="s">
        <v>544</v>
      </c>
      <c r="B245" s="1" t="s">
        <v>48</v>
      </c>
      <c r="C245" s="1" t="s">
        <v>64</v>
      </c>
      <c r="D245" s="1" t="s">
        <v>75</v>
      </c>
      <c r="E245" s="1">
        <v>71178</v>
      </c>
      <c r="F245" s="1" t="s">
        <v>275</v>
      </c>
      <c r="G245" s="2">
        <v>45486</v>
      </c>
      <c r="I245" s="3">
        <v>11</v>
      </c>
      <c r="J245" s="3">
        <v>6</v>
      </c>
      <c r="K245" s="4">
        <v>0.545454545454545</v>
      </c>
      <c r="L245" s="3">
        <v>0</v>
      </c>
      <c r="M245" s="3">
        <v>0</v>
      </c>
      <c r="N245" s="4">
        <v>0</v>
      </c>
      <c r="O245" s="3">
        <v>11</v>
      </c>
      <c r="P245" s="3">
        <v>6</v>
      </c>
      <c r="Q245" s="4">
        <v>0.545454545454545</v>
      </c>
      <c r="R245" s="3" t="str">
        <f t="shared" si="3"/>
        <v>教学三区</v>
      </c>
    </row>
    <row r="246" spans="1:18">
      <c r="A246" s="1" t="s">
        <v>544</v>
      </c>
      <c r="B246" s="1" t="s">
        <v>48</v>
      </c>
      <c r="C246" s="1" t="s">
        <v>64</v>
      </c>
      <c r="D246" s="1" t="s">
        <v>75</v>
      </c>
      <c r="E246" s="1">
        <v>2354</v>
      </c>
      <c r="F246" s="1" t="s">
        <v>737</v>
      </c>
      <c r="G246" s="2">
        <v>43521</v>
      </c>
      <c r="I246" s="3">
        <v>20</v>
      </c>
      <c r="J246" s="3">
        <v>7</v>
      </c>
      <c r="K246" s="4">
        <v>0.35</v>
      </c>
      <c r="L246" s="3">
        <v>9</v>
      </c>
      <c r="M246" s="3">
        <v>3</v>
      </c>
      <c r="N246" s="4">
        <v>0.15</v>
      </c>
      <c r="O246" s="3">
        <v>11</v>
      </c>
      <c r="P246" s="3">
        <v>4</v>
      </c>
      <c r="Q246" s="4">
        <v>0.2</v>
      </c>
      <c r="R246" s="3" t="str">
        <f t="shared" si="3"/>
        <v>教学三区</v>
      </c>
    </row>
    <row r="247" spans="1:18">
      <c r="A247" s="1" t="s">
        <v>544</v>
      </c>
      <c r="B247" s="1" t="s">
        <v>48</v>
      </c>
      <c r="C247" s="1" t="s">
        <v>64</v>
      </c>
      <c r="D247" s="1" t="s">
        <v>75</v>
      </c>
      <c r="E247" s="1">
        <v>47</v>
      </c>
      <c r="F247" s="1" t="s">
        <v>738</v>
      </c>
      <c r="G247" s="2">
        <v>42948</v>
      </c>
      <c r="I247" s="3">
        <v>9</v>
      </c>
      <c r="J247" s="3">
        <v>3</v>
      </c>
      <c r="K247" s="4">
        <v>0.333333333333333</v>
      </c>
      <c r="L247" s="3">
        <v>6</v>
      </c>
      <c r="M247" s="3">
        <v>3</v>
      </c>
      <c r="N247" s="4">
        <v>0.333333333333333</v>
      </c>
      <c r="O247" s="3">
        <v>3</v>
      </c>
      <c r="P247" s="3">
        <v>0</v>
      </c>
      <c r="Q247" s="4">
        <v>0</v>
      </c>
      <c r="R247" s="3" t="str">
        <f t="shared" si="3"/>
        <v>教学三区</v>
      </c>
    </row>
    <row r="248" spans="1:18">
      <c r="A248" s="1" t="s">
        <v>544</v>
      </c>
      <c r="B248" s="1" t="s">
        <v>48</v>
      </c>
      <c r="C248" s="1" t="s">
        <v>64</v>
      </c>
      <c r="D248" s="1" t="s">
        <v>75</v>
      </c>
      <c r="E248" s="1">
        <v>50751</v>
      </c>
      <c r="F248" s="1" t="s">
        <v>739</v>
      </c>
      <c r="G248" s="2">
        <v>44981</v>
      </c>
      <c r="I248" s="3">
        <v>12</v>
      </c>
      <c r="J248" s="3">
        <v>6</v>
      </c>
      <c r="K248" s="4">
        <v>0.5</v>
      </c>
      <c r="L248" s="3">
        <v>6</v>
      </c>
      <c r="M248" s="3">
        <v>2</v>
      </c>
      <c r="N248" s="4">
        <v>0.166666666666667</v>
      </c>
      <c r="O248" s="3">
        <v>6</v>
      </c>
      <c r="P248" s="3">
        <v>4</v>
      </c>
      <c r="Q248" s="4">
        <v>0.333333333333333</v>
      </c>
      <c r="R248" s="3" t="str">
        <f t="shared" si="3"/>
        <v>教学三区</v>
      </c>
    </row>
    <row r="249" spans="1:18">
      <c r="A249" s="1" t="s">
        <v>544</v>
      </c>
      <c r="B249" s="1" t="s">
        <v>48</v>
      </c>
      <c r="C249" s="1" t="s">
        <v>64</v>
      </c>
      <c r="D249" s="1" t="s">
        <v>75</v>
      </c>
      <c r="E249" s="1">
        <v>61964</v>
      </c>
      <c r="F249" s="1" t="s">
        <v>740</v>
      </c>
      <c r="G249" s="2">
        <v>44867</v>
      </c>
      <c r="I249" s="3">
        <v>9</v>
      </c>
      <c r="J249" s="3">
        <v>1</v>
      </c>
      <c r="K249" s="4">
        <v>0.111111111111111</v>
      </c>
      <c r="L249" s="3">
        <v>1</v>
      </c>
      <c r="M249" s="3">
        <v>0</v>
      </c>
      <c r="N249" s="4">
        <v>0</v>
      </c>
      <c r="O249" s="3">
        <v>8</v>
      </c>
      <c r="P249" s="3">
        <v>1</v>
      </c>
      <c r="Q249" s="4">
        <v>0.111111111111111</v>
      </c>
      <c r="R249" s="3" t="str">
        <f t="shared" si="3"/>
        <v>教学三区</v>
      </c>
    </row>
    <row r="250" spans="1:18">
      <c r="A250" s="1" t="s">
        <v>544</v>
      </c>
      <c r="B250" s="1" t="s">
        <v>48</v>
      </c>
      <c r="C250" s="1" t="s">
        <v>64</v>
      </c>
      <c r="D250" s="1" t="s">
        <v>75</v>
      </c>
      <c r="E250" s="1">
        <v>4086</v>
      </c>
      <c r="F250" s="1" t="s">
        <v>101</v>
      </c>
      <c r="G250" s="2">
        <v>43665</v>
      </c>
      <c r="I250" s="3">
        <v>6</v>
      </c>
      <c r="J250" s="3">
        <v>1</v>
      </c>
      <c r="K250" s="4">
        <v>0.166666666666667</v>
      </c>
      <c r="L250" s="3">
        <v>1</v>
      </c>
      <c r="M250" s="3">
        <v>0</v>
      </c>
      <c r="N250" s="4">
        <v>0</v>
      </c>
      <c r="O250" s="3">
        <v>5</v>
      </c>
      <c r="P250" s="3">
        <v>1</v>
      </c>
      <c r="Q250" s="4">
        <v>0.166666666666667</v>
      </c>
      <c r="R250" s="3" t="str">
        <f t="shared" si="3"/>
        <v>教学三区</v>
      </c>
    </row>
    <row r="251" spans="1:18">
      <c r="A251" s="1" t="s">
        <v>544</v>
      </c>
      <c r="B251" s="1" t="s">
        <v>48</v>
      </c>
      <c r="C251" s="1" t="s">
        <v>64</v>
      </c>
      <c r="D251" s="1" t="s">
        <v>75</v>
      </c>
      <c r="E251" s="1">
        <v>70177</v>
      </c>
      <c r="F251" s="1" t="s">
        <v>76</v>
      </c>
      <c r="G251" s="2">
        <v>45395</v>
      </c>
      <c r="I251" s="3">
        <v>22</v>
      </c>
      <c r="J251" s="3">
        <v>15</v>
      </c>
      <c r="K251" s="4">
        <v>0.681818181818182</v>
      </c>
      <c r="L251" s="3">
        <v>1</v>
      </c>
      <c r="M251" s="3">
        <v>1</v>
      </c>
      <c r="N251" s="4">
        <v>0.0454545454545455</v>
      </c>
      <c r="O251" s="3">
        <v>21</v>
      </c>
      <c r="P251" s="3">
        <v>14</v>
      </c>
      <c r="Q251" s="4">
        <v>0.636363636363636</v>
      </c>
      <c r="R251" s="3" t="str">
        <f t="shared" si="3"/>
        <v>教学三区</v>
      </c>
    </row>
    <row r="252" spans="1:18">
      <c r="A252" s="1" t="s">
        <v>544</v>
      </c>
      <c r="B252" s="1" t="s">
        <v>48</v>
      </c>
      <c r="C252" s="1" t="s">
        <v>64</v>
      </c>
      <c r="D252" s="1" t="s">
        <v>108</v>
      </c>
      <c r="E252" s="1">
        <v>69798</v>
      </c>
      <c r="F252" s="1" t="s">
        <v>741</v>
      </c>
      <c r="G252" s="2">
        <v>45367</v>
      </c>
      <c r="I252" s="3">
        <v>13</v>
      </c>
      <c r="J252" s="3">
        <v>5</v>
      </c>
      <c r="K252" s="4">
        <v>0.384615384615385</v>
      </c>
      <c r="L252" s="3">
        <v>0</v>
      </c>
      <c r="M252" s="3">
        <v>0</v>
      </c>
      <c r="N252" s="4">
        <v>0</v>
      </c>
      <c r="O252" s="3">
        <v>13</v>
      </c>
      <c r="P252" s="3">
        <v>5</v>
      </c>
      <c r="Q252" s="4">
        <v>0.384615384615385</v>
      </c>
      <c r="R252" s="3" t="str">
        <f t="shared" si="3"/>
        <v>教学三区</v>
      </c>
    </row>
    <row r="253" spans="1:18">
      <c r="A253" s="1" t="s">
        <v>544</v>
      </c>
      <c r="B253" s="1" t="s">
        <v>48</v>
      </c>
      <c r="C253" s="1" t="s">
        <v>64</v>
      </c>
      <c r="D253" s="1" t="s">
        <v>108</v>
      </c>
      <c r="E253" s="1">
        <v>13083</v>
      </c>
      <c r="F253" s="1" t="s">
        <v>742</v>
      </c>
      <c r="G253" s="2">
        <v>43909</v>
      </c>
      <c r="I253" s="3">
        <v>7</v>
      </c>
      <c r="J253" s="3">
        <v>4</v>
      </c>
      <c r="K253" s="4">
        <v>0.571428571428571</v>
      </c>
      <c r="L253" s="3">
        <v>2</v>
      </c>
      <c r="M253" s="3">
        <v>1</v>
      </c>
      <c r="N253" s="4">
        <v>0.142857142857143</v>
      </c>
      <c r="O253" s="3">
        <v>5</v>
      </c>
      <c r="P253" s="3">
        <v>3</v>
      </c>
      <c r="Q253" s="4">
        <v>0.428571428571429</v>
      </c>
      <c r="R253" s="3" t="str">
        <f t="shared" si="3"/>
        <v>教学三区</v>
      </c>
    </row>
    <row r="254" spans="1:18">
      <c r="A254" s="1" t="s">
        <v>544</v>
      </c>
      <c r="B254" s="1" t="s">
        <v>48</v>
      </c>
      <c r="C254" s="1" t="s">
        <v>64</v>
      </c>
      <c r="D254" s="1" t="s">
        <v>108</v>
      </c>
      <c r="E254" s="1">
        <v>69800</v>
      </c>
      <c r="F254" s="1" t="s">
        <v>743</v>
      </c>
      <c r="G254" s="2">
        <v>45367</v>
      </c>
      <c r="I254" s="3">
        <v>12</v>
      </c>
      <c r="J254" s="3">
        <v>2</v>
      </c>
      <c r="K254" s="4">
        <v>0.166666666666667</v>
      </c>
      <c r="L254" s="3">
        <v>0</v>
      </c>
      <c r="M254" s="3">
        <v>0</v>
      </c>
      <c r="N254" s="4">
        <v>0</v>
      </c>
      <c r="O254" s="3">
        <v>12</v>
      </c>
      <c r="P254" s="3">
        <v>2</v>
      </c>
      <c r="Q254" s="4">
        <v>0.166666666666667</v>
      </c>
      <c r="R254" s="3" t="str">
        <f t="shared" si="3"/>
        <v>教学三区</v>
      </c>
    </row>
    <row r="255" spans="1:18">
      <c r="A255" s="1" t="s">
        <v>544</v>
      </c>
      <c r="B255" s="1" t="s">
        <v>48</v>
      </c>
      <c r="C255" s="1" t="s">
        <v>64</v>
      </c>
      <c r="D255" s="1" t="s">
        <v>108</v>
      </c>
      <c r="E255" s="1">
        <v>13212</v>
      </c>
      <c r="F255" s="1" t="s">
        <v>503</v>
      </c>
      <c r="G255" s="2">
        <v>43909</v>
      </c>
      <c r="I255" s="3">
        <v>5</v>
      </c>
      <c r="J255" s="3">
        <v>5</v>
      </c>
      <c r="K255" s="4">
        <v>1</v>
      </c>
      <c r="L255" s="3">
        <v>1</v>
      </c>
      <c r="M255" s="3">
        <v>1</v>
      </c>
      <c r="N255" s="4">
        <v>0.2</v>
      </c>
      <c r="O255" s="3">
        <v>4</v>
      </c>
      <c r="P255" s="3">
        <v>4</v>
      </c>
      <c r="Q255" s="4">
        <v>0.8</v>
      </c>
      <c r="R255" s="3" t="str">
        <f t="shared" si="3"/>
        <v>教学三区</v>
      </c>
    </row>
    <row r="256" spans="1:18">
      <c r="A256" s="1" t="s">
        <v>544</v>
      </c>
      <c r="B256" s="1" t="s">
        <v>48</v>
      </c>
      <c r="C256" s="1" t="s">
        <v>64</v>
      </c>
      <c r="D256" s="1" t="s">
        <v>108</v>
      </c>
      <c r="E256" s="1">
        <v>68408</v>
      </c>
      <c r="F256" s="1" t="s">
        <v>518</v>
      </c>
      <c r="G256" s="2">
        <v>45185</v>
      </c>
      <c r="I256" s="3">
        <v>2</v>
      </c>
      <c r="J256" s="3">
        <v>2</v>
      </c>
      <c r="K256" s="4">
        <v>1</v>
      </c>
      <c r="L256" s="3">
        <v>0</v>
      </c>
      <c r="M256" s="3">
        <v>0</v>
      </c>
      <c r="N256" s="4">
        <v>0</v>
      </c>
      <c r="O256" s="3">
        <v>2</v>
      </c>
      <c r="P256" s="3">
        <v>2</v>
      </c>
      <c r="Q256" s="4">
        <v>1</v>
      </c>
      <c r="R256" s="3" t="str">
        <f t="shared" si="3"/>
        <v>教学三区</v>
      </c>
    </row>
    <row r="257" spans="1:18">
      <c r="A257" s="1" t="s">
        <v>544</v>
      </c>
      <c r="B257" s="1" t="s">
        <v>48</v>
      </c>
      <c r="C257" s="1" t="s">
        <v>64</v>
      </c>
      <c r="D257" s="1" t="s">
        <v>108</v>
      </c>
      <c r="E257" s="1">
        <v>52916</v>
      </c>
      <c r="F257" s="1" t="s">
        <v>744</v>
      </c>
      <c r="G257" s="2">
        <v>44469</v>
      </c>
      <c r="I257" s="3">
        <v>14</v>
      </c>
      <c r="J257" s="3">
        <v>8</v>
      </c>
      <c r="K257" s="4">
        <v>0.571428571428571</v>
      </c>
      <c r="L257" s="3">
        <v>2</v>
      </c>
      <c r="M257" s="3">
        <v>2</v>
      </c>
      <c r="N257" s="4">
        <v>0.142857142857143</v>
      </c>
      <c r="O257" s="3">
        <v>12</v>
      </c>
      <c r="P257" s="3">
        <v>6</v>
      </c>
      <c r="Q257" s="4">
        <v>0.428571428571429</v>
      </c>
      <c r="R257" s="3" t="str">
        <f t="shared" si="3"/>
        <v>教学三区</v>
      </c>
    </row>
    <row r="258" spans="1:18">
      <c r="A258" s="1" t="s">
        <v>544</v>
      </c>
      <c r="B258" s="1" t="s">
        <v>48</v>
      </c>
      <c r="C258" s="1" t="s">
        <v>64</v>
      </c>
      <c r="D258" s="1" t="s">
        <v>108</v>
      </c>
      <c r="E258" s="1">
        <v>20326</v>
      </c>
      <c r="F258" s="1" t="s">
        <v>109</v>
      </c>
      <c r="G258" s="2">
        <v>43939</v>
      </c>
      <c r="I258" s="3">
        <v>23</v>
      </c>
      <c r="J258" s="3">
        <v>14</v>
      </c>
      <c r="K258" s="4">
        <v>0.608695652173913</v>
      </c>
      <c r="L258" s="3">
        <v>2</v>
      </c>
      <c r="M258" s="3">
        <v>2</v>
      </c>
      <c r="N258" s="4">
        <v>0.0869565217391304</v>
      </c>
      <c r="O258" s="3">
        <v>21</v>
      </c>
      <c r="P258" s="3">
        <v>12</v>
      </c>
      <c r="Q258" s="4">
        <v>0.521739130434783</v>
      </c>
      <c r="R258" s="3" t="str">
        <f t="shared" si="3"/>
        <v>教学三区</v>
      </c>
    </row>
    <row r="259" spans="1:18">
      <c r="A259" s="1" t="s">
        <v>544</v>
      </c>
      <c r="B259" s="1" t="s">
        <v>48</v>
      </c>
      <c r="C259" s="1" t="s">
        <v>64</v>
      </c>
      <c r="D259" s="1" t="s">
        <v>108</v>
      </c>
      <c r="E259" s="1">
        <v>6291</v>
      </c>
      <c r="F259" s="1" t="s">
        <v>745</v>
      </c>
      <c r="G259" s="2">
        <v>43778</v>
      </c>
      <c r="I259" s="3">
        <v>18</v>
      </c>
      <c r="J259" s="3">
        <v>7</v>
      </c>
      <c r="K259" s="4">
        <v>0.388888888888889</v>
      </c>
      <c r="L259" s="3">
        <v>10</v>
      </c>
      <c r="M259" s="3">
        <v>4</v>
      </c>
      <c r="N259" s="4">
        <v>0.222222222222222</v>
      </c>
      <c r="O259" s="3">
        <v>8</v>
      </c>
      <c r="P259" s="3">
        <v>3</v>
      </c>
      <c r="Q259" s="4">
        <v>0.166666666666667</v>
      </c>
      <c r="R259" s="3" t="str">
        <f t="shared" ref="R259:R322" si="4">B259</f>
        <v>教学三区</v>
      </c>
    </row>
    <row r="260" spans="1:18">
      <c r="A260" s="1" t="s">
        <v>544</v>
      </c>
      <c r="B260" s="1" t="s">
        <v>48</v>
      </c>
      <c r="C260" s="1" t="s">
        <v>64</v>
      </c>
      <c r="D260" s="1" t="s">
        <v>108</v>
      </c>
      <c r="E260" s="1">
        <v>13230</v>
      </c>
      <c r="F260" s="1" t="s">
        <v>746</v>
      </c>
      <c r="G260" s="2">
        <v>43910</v>
      </c>
      <c r="I260" s="3">
        <v>10</v>
      </c>
      <c r="J260" s="3">
        <v>6</v>
      </c>
      <c r="K260" s="4">
        <v>0.6</v>
      </c>
      <c r="L260" s="3">
        <v>3</v>
      </c>
      <c r="M260" s="3">
        <v>0</v>
      </c>
      <c r="N260" s="4">
        <v>0</v>
      </c>
      <c r="O260" s="3">
        <v>7</v>
      </c>
      <c r="P260" s="3">
        <v>6</v>
      </c>
      <c r="Q260" s="4">
        <v>0.6</v>
      </c>
      <c r="R260" s="3" t="str">
        <f t="shared" si="4"/>
        <v>教学三区</v>
      </c>
    </row>
    <row r="261" spans="1:18">
      <c r="A261" s="1" t="s">
        <v>544</v>
      </c>
      <c r="B261" s="1" t="s">
        <v>48</v>
      </c>
      <c r="C261" s="1" t="s">
        <v>64</v>
      </c>
      <c r="D261" s="1" t="s">
        <v>108</v>
      </c>
      <c r="E261" s="1">
        <v>6352</v>
      </c>
      <c r="F261" s="1" t="s">
        <v>747</v>
      </c>
      <c r="G261" s="2">
        <v>43804</v>
      </c>
      <c r="I261" s="3">
        <v>8</v>
      </c>
      <c r="J261" s="3">
        <v>3</v>
      </c>
      <c r="K261" s="4">
        <v>0.375</v>
      </c>
      <c r="L261" s="3">
        <v>2</v>
      </c>
      <c r="M261" s="3">
        <v>0</v>
      </c>
      <c r="N261" s="4">
        <v>0</v>
      </c>
      <c r="O261" s="3">
        <v>6</v>
      </c>
      <c r="P261" s="3">
        <v>3</v>
      </c>
      <c r="Q261" s="4">
        <v>0.375</v>
      </c>
      <c r="R261" s="3" t="str">
        <f t="shared" si="4"/>
        <v>教学三区</v>
      </c>
    </row>
    <row r="262" spans="1:18">
      <c r="A262" s="1" t="s">
        <v>544</v>
      </c>
      <c r="B262" s="1" t="s">
        <v>48</v>
      </c>
      <c r="C262" s="1" t="s">
        <v>64</v>
      </c>
      <c r="D262" s="1" t="s">
        <v>108</v>
      </c>
      <c r="E262" s="1">
        <v>6083</v>
      </c>
      <c r="F262" s="1" t="s">
        <v>748</v>
      </c>
      <c r="G262" s="2">
        <v>43790</v>
      </c>
      <c r="I262" s="3">
        <v>20</v>
      </c>
      <c r="J262" s="3">
        <v>10</v>
      </c>
      <c r="K262" s="4">
        <v>0.5</v>
      </c>
      <c r="L262" s="3">
        <v>6</v>
      </c>
      <c r="M262" s="3">
        <v>5</v>
      </c>
      <c r="N262" s="4">
        <v>0.25</v>
      </c>
      <c r="O262" s="3">
        <v>14</v>
      </c>
      <c r="P262" s="3">
        <v>5</v>
      </c>
      <c r="Q262" s="4">
        <v>0.25</v>
      </c>
      <c r="R262" s="3" t="str">
        <f t="shared" si="4"/>
        <v>教学三区</v>
      </c>
    </row>
    <row r="263" spans="1:18">
      <c r="A263" s="1" t="s">
        <v>544</v>
      </c>
      <c r="B263" s="1" t="s">
        <v>48</v>
      </c>
      <c r="C263" s="1" t="s">
        <v>64</v>
      </c>
      <c r="D263" s="1" t="s">
        <v>108</v>
      </c>
      <c r="E263" s="1">
        <v>4418</v>
      </c>
      <c r="F263" s="1" t="s">
        <v>420</v>
      </c>
      <c r="G263" s="2">
        <v>43687</v>
      </c>
      <c r="I263" s="3">
        <v>6</v>
      </c>
      <c r="J263" s="3">
        <v>2</v>
      </c>
      <c r="K263" s="4">
        <v>0.333333333333333</v>
      </c>
      <c r="L263" s="3">
        <v>2</v>
      </c>
      <c r="M263" s="3">
        <v>0</v>
      </c>
      <c r="N263" s="4">
        <v>0</v>
      </c>
      <c r="O263" s="3">
        <v>4</v>
      </c>
      <c r="P263" s="3">
        <v>2</v>
      </c>
      <c r="Q263" s="4">
        <v>0.333333333333333</v>
      </c>
      <c r="R263" s="3" t="str">
        <f t="shared" si="4"/>
        <v>教学三区</v>
      </c>
    </row>
    <row r="264" spans="1:18">
      <c r="A264" s="1" t="s">
        <v>544</v>
      </c>
      <c r="B264" s="1" t="s">
        <v>48</v>
      </c>
      <c r="C264" s="1" t="s">
        <v>64</v>
      </c>
      <c r="D264" s="1" t="s">
        <v>108</v>
      </c>
      <c r="E264" s="1">
        <v>2537</v>
      </c>
      <c r="F264" s="1" t="s">
        <v>749</v>
      </c>
      <c r="G264" s="2">
        <v>43645</v>
      </c>
      <c r="I264" s="3">
        <v>17</v>
      </c>
      <c r="J264" s="3">
        <v>6</v>
      </c>
      <c r="K264" s="4">
        <v>0.352941176470588</v>
      </c>
      <c r="L264" s="3">
        <v>5</v>
      </c>
      <c r="M264" s="3">
        <v>1</v>
      </c>
      <c r="N264" s="4">
        <v>0.0588235294117647</v>
      </c>
      <c r="O264" s="3">
        <v>12</v>
      </c>
      <c r="P264" s="3">
        <v>5</v>
      </c>
      <c r="Q264" s="4">
        <v>0.294117647058824</v>
      </c>
      <c r="R264" s="3" t="str">
        <f t="shared" si="4"/>
        <v>教学三区</v>
      </c>
    </row>
    <row r="265" spans="1:18">
      <c r="A265" s="1" t="s">
        <v>544</v>
      </c>
      <c r="B265" s="1" t="s">
        <v>48</v>
      </c>
      <c r="C265" s="1" t="s">
        <v>64</v>
      </c>
      <c r="D265" s="1" t="s">
        <v>108</v>
      </c>
      <c r="E265" s="1">
        <v>13192</v>
      </c>
      <c r="F265" s="1" t="s">
        <v>189</v>
      </c>
      <c r="G265" s="2">
        <v>43909</v>
      </c>
      <c r="I265" s="3">
        <v>13</v>
      </c>
      <c r="J265" s="3">
        <v>5</v>
      </c>
      <c r="K265" s="4">
        <v>0.384615384615385</v>
      </c>
      <c r="L265" s="3">
        <v>4</v>
      </c>
      <c r="M265" s="3">
        <v>2</v>
      </c>
      <c r="N265" s="4">
        <v>0.153846153846154</v>
      </c>
      <c r="O265" s="3">
        <v>9</v>
      </c>
      <c r="P265" s="3">
        <v>3</v>
      </c>
      <c r="Q265" s="4">
        <v>0.230769230769231</v>
      </c>
      <c r="R265" s="3" t="str">
        <f t="shared" si="4"/>
        <v>教学三区</v>
      </c>
    </row>
    <row r="266" spans="1:18">
      <c r="A266" s="1" t="s">
        <v>544</v>
      </c>
      <c r="B266" s="1" t="s">
        <v>48</v>
      </c>
      <c r="C266" s="1" t="s">
        <v>64</v>
      </c>
      <c r="D266" s="1" t="s">
        <v>108</v>
      </c>
      <c r="E266" s="1">
        <v>13057</v>
      </c>
      <c r="F266" s="1" t="s">
        <v>750</v>
      </c>
      <c r="G266" s="2">
        <v>44294</v>
      </c>
      <c r="I266" s="3">
        <v>8</v>
      </c>
      <c r="J266" s="3">
        <v>5</v>
      </c>
      <c r="K266" s="4">
        <v>0.625</v>
      </c>
      <c r="L266" s="3">
        <v>2</v>
      </c>
      <c r="M266" s="3">
        <v>0</v>
      </c>
      <c r="N266" s="4">
        <v>0</v>
      </c>
      <c r="O266" s="3">
        <v>6</v>
      </c>
      <c r="P266" s="3">
        <v>5</v>
      </c>
      <c r="Q266" s="4">
        <v>0.625</v>
      </c>
      <c r="R266" s="3" t="str">
        <f t="shared" si="4"/>
        <v>教学三区</v>
      </c>
    </row>
    <row r="267" spans="1:18">
      <c r="A267" s="1" t="s">
        <v>544</v>
      </c>
      <c r="B267" s="1" t="s">
        <v>48</v>
      </c>
      <c r="C267" s="1" t="s">
        <v>64</v>
      </c>
      <c r="D267" s="1" t="s">
        <v>65</v>
      </c>
      <c r="E267" s="1">
        <v>4602</v>
      </c>
      <c r="F267" s="1" t="s">
        <v>751</v>
      </c>
      <c r="G267" s="2">
        <v>43713</v>
      </c>
      <c r="I267" s="3">
        <v>12</v>
      </c>
      <c r="J267" s="3">
        <v>6</v>
      </c>
      <c r="K267" s="4">
        <v>0.5</v>
      </c>
      <c r="L267" s="3">
        <v>3</v>
      </c>
      <c r="M267" s="3">
        <v>1</v>
      </c>
      <c r="N267" s="4">
        <v>0.0833333333333333</v>
      </c>
      <c r="O267" s="3">
        <v>9</v>
      </c>
      <c r="P267" s="3">
        <v>5</v>
      </c>
      <c r="Q267" s="4">
        <v>0.416666666666667</v>
      </c>
      <c r="R267" s="3" t="str">
        <f t="shared" si="4"/>
        <v>教学三区</v>
      </c>
    </row>
    <row r="268" spans="1:18">
      <c r="A268" s="1" t="s">
        <v>544</v>
      </c>
      <c r="B268" s="1" t="s">
        <v>48</v>
      </c>
      <c r="C268" s="1" t="s">
        <v>64</v>
      </c>
      <c r="D268" s="1" t="s">
        <v>65</v>
      </c>
      <c r="E268" s="1">
        <v>3820</v>
      </c>
      <c r="F268" s="1" t="s">
        <v>70</v>
      </c>
      <c r="G268" s="2">
        <v>43761</v>
      </c>
      <c r="I268" s="3">
        <v>10</v>
      </c>
      <c r="J268" s="3">
        <v>7</v>
      </c>
      <c r="K268" s="4">
        <v>0.7</v>
      </c>
      <c r="L268" s="3">
        <v>1</v>
      </c>
      <c r="M268" s="3">
        <v>0</v>
      </c>
      <c r="N268" s="4">
        <v>0</v>
      </c>
      <c r="O268" s="3">
        <v>9</v>
      </c>
      <c r="P268" s="3">
        <v>7</v>
      </c>
      <c r="Q268" s="4">
        <v>0.7</v>
      </c>
      <c r="R268" s="3" t="str">
        <f t="shared" si="4"/>
        <v>教学三区</v>
      </c>
    </row>
    <row r="269" spans="1:18">
      <c r="A269" s="1" t="s">
        <v>544</v>
      </c>
      <c r="B269" s="1" t="s">
        <v>48</v>
      </c>
      <c r="C269" s="1" t="s">
        <v>64</v>
      </c>
      <c r="D269" s="1" t="s">
        <v>65</v>
      </c>
      <c r="E269" s="1">
        <v>70021</v>
      </c>
      <c r="F269" s="1" t="s">
        <v>96</v>
      </c>
      <c r="G269" s="2">
        <v>45381</v>
      </c>
      <c r="I269" s="3">
        <v>10</v>
      </c>
      <c r="J269" s="3">
        <v>5</v>
      </c>
      <c r="K269" s="4">
        <v>0.5</v>
      </c>
      <c r="L269" s="3">
        <v>2</v>
      </c>
      <c r="M269" s="3">
        <v>1</v>
      </c>
      <c r="N269" s="4">
        <v>0.1</v>
      </c>
      <c r="O269" s="3">
        <v>8</v>
      </c>
      <c r="P269" s="3">
        <v>4</v>
      </c>
      <c r="Q269" s="4">
        <v>0.4</v>
      </c>
      <c r="R269" s="3" t="str">
        <f t="shared" si="4"/>
        <v>教学三区</v>
      </c>
    </row>
    <row r="270" spans="1:18">
      <c r="A270" s="1" t="s">
        <v>544</v>
      </c>
      <c r="B270" s="1" t="s">
        <v>48</v>
      </c>
      <c r="C270" s="1" t="s">
        <v>64</v>
      </c>
      <c r="D270" s="1" t="s">
        <v>65</v>
      </c>
      <c r="E270" s="1">
        <v>4887</v>
      </c>
      <c r="F270" s="1" t="s">
        <v>752</v>
      </c>
      <c r="G270" s="2">
        <v>43720</v>
      </c>
      <c r="I270" s="3">
        <v>10</v>
      </c>
      <c r="J270" s="3">
        <v>3</v>
      </c>
      <c r="K270" s="4">
        <v>0.3</v>
      </c>
      <c r="L270" s="3">
        <v>1</v>
      </c>
      <c r="M270" s="3">
        <v>1</v>
      </c>
      <c r="N270" s="4">
        <v>0.1</v>
      </c>
      <c r="O270" s="3">
        <v>9</v>
      </c>
      <c r="P270" s="3">
        <v>2</v>
      </c>
      <c r="Q270" s="4">
        <v>0.2</v>
      </c>
      <c r="R270" s="3" t="str">
        <f t="shared" si="4"/>
        <v>教学三区</v>
      </c>
    </row>
    <row r="271" spans="1:18">
      <c r="A271" s="1" t="s">
        <v>544</v>
      </c>
      <c r="B271" s="1" t="s">
        <v>48</v>
      </c>
      <c r="C271" s="1" t="s">
        <v>64</v>
      </c>
      <c r="D271" s="1" t="s">
        <v>65</v>
      </c>
      <c r="E271" s="1">
        <v>4463</v>
      </c>
      <c r="F271" s="1" t="s">
        <v>753</v>
      </c>
      <c r="G271" s="2">
        <v>43701</v>
      </c>
      <c r="I271" s="3">
        <v>17</v>
      </c>
      <c r="J271" s="3">
        <v>4</v>
      </c>
      <c r="K271" s="4">
        <v>0.235294117647059</v>
      </c>
      <c r="L271" s="3">
        <v>10</v>
      </c>
      <c r="M271" s="3">
        <v>2</v>
      </c>
      <c r="N271" s="4">
        <v>0.117647058823529</v>
      </c>
      <c r="O271" s="3">
        <v>7</v>
      </c>
      <c r="P271" s="3">
        <v>2</v>
      </c>
      <c r="Q271" s="4">
        <v>0.117647058823529</v>
      </c>
      <c r="R271" s="3" t="str">
        <f t="shared" si="4"/>
        <v>教学三区</v>
      </c>
    </row>
    <row r="272" spans="1:18">
      <c r="A272" s="1" t="s">
        <v>544</v>
      </c>
      <c r="B272" s="1" t="s">
        <v>48</v>
      </c>
      <c r="C272" s="1" t="s">
        <v>64</v>
      </c>
      <c r="D272" s="1" t="s">
        <v>65</v>
      </c>
      <c r="E272" s="1">
        <v>69303</v>
      </c>
      <c r="F272" s="1" t="s">
        <v>754</v>
      </c>
      <c r="G272" s="2">
        <v>45283</v>
      </c>
      <c r="I272" s="3">
        <v>16</v>
      </c>
      <c r="J272" s="3">
        <v>6</v>
      </c>
      <c r="K272" s="4">
        <v>0.375</v>
      </c>
      <c r="L272" s="3">
        <v>5</v>
      </c>
      <c r="M272" s="3">
        <v>1</v>
      </c>
      <c r="N272" s="4">
        <v>0.0625</v>
      </c>
      <c r="O272" s="3">
        <v>11</v>
      </c>
      <c r="P272" s="3">
        <v>5</v>
      </c>
      <c r="Q272" s="4">
        <v>0.3125</v>
      </c>
      <c r="R272" s="3" t="str">
        <f t="shared" si="4"/>
        <v>教学三区</v>
      </c>
    </row>
    <row r="273" spans="1:18">
      <c r="A273" s="1" t="s">
        <v>544</v>
      </c>
      <c r="B273" s="1" t="s">
        <v>48</v>
      </c>
      <c r="C273" s="1" t="s">
        <v>64</v>
      </c>
      <c r="D273" s="1" t="s">
        <v>65</v>
      </c>
      <c r="E273" s="1">
        <v>2705</v>
      </c>
      <c r="F273" s="1" t="s">
        <v>755</v>
      </c>
      <c r="G273" s="2">
        <v>43549</v>
      </c>
      <c r="I273" s="3">
        <v>15</v>
      </c>
      <c r="J273" s="3">
        <v>6</v>
      </c>
      <c r="K273" s="4">
        <v>0.4</v>
      </c>
      <c r="L273" s="3">
        <v>6</v>
      </c>
      <c r="M273" s="3">
        <v>4</v>
      </c>
      <c r="N273" s="4">
        <v>0.266666666666667</v>
      </c>
      <c r="O273" s="3">
        <v>9</v>
      </c>
      <c r="P273" s="3">
        <v>2</v>
      </c>
      <c r="Q273" s="4">
        <v>0.133333333333333</v>
      </c>
      <c r="R273" s="3" t="str">
        <f t="shared" si="4"/>
        <v>教学三区</v>
      </c>
    </row>
    <row r="274" spans="1:18">
      <c r="A274" s="1" t="s">
        <v>544</v>
      </c>
      <c r="B274" s="1" t="s">
        <v>48</v>
      </c>
      <c r="C274" s="1" t="s">
        <v>64</v>
      </c>
      <c r="D274" s="1" t="s">
        <v>65</v>
      </c>
      <c r="E274" s="1">
        <v>62358</v>
      </c>
      <c r="F274" s="1" t="s">
        <v>756</v>
      </c>
      <c r="G274" s="2">
        <v>44912</v>
      </c>
      <c r="I274" s="3">
        <v>14</v>
      </c>
      <c r="J274" s="3">
        <v>8</v>
      </c>
      <c r="K274" s="4">
        <v>0.571428571428571</v>
      </c>
      <c r="L274" s="3">
        <v>9</v>
      </c>
      <c r="M274" s="3">
        <v>5</v>
      </c>
      <c r="N274" s="4">
        <v>0.357142857142857</v>
      </c>
      <c r="O274" s="3">
        <v>5</v>
      </c>
      <c r="P274" s="3">
        <v>3</v>
      </c>
      <c r="Q274" s="4">
        <v>0.214285714285714</v>
      </c>
      <c r="R274" s="3" t="str">
        <f t="shared" si="4"/>
        <v>教学三区</v>
      </c>
    </row>
    <row r="275" spans="1:18">
      <c r="A275" s="1" t="s">
        <v>544</v>
      </c>
      <c r="B275" s="1" t="s">
        <v>48</v>
      </c>
      <c r="C275" s="1" t="s">
        <v>64</v>
      </c>
      <c r="D275" s="1" t="s">
        <v>65</v>
      </c>
      <c r="E275" s="1">
        <v>13116</v>
      </c>
      <c r="F275" s="1" t="s">
        <v>524</v>
      </c>
      <c r="G275" s="2">
        <v>43909</v>
      </c>
      <c r="I275" s="3">
        <v>10</v>
      </c>
      <c r="J275" s="3">
        <v>5</v>
      </c>
      <c r="K275" s="4">
        <v>0.5</v>
      </c>
      <c r="L275" s="3">
        <v>4</v>
      </c>
      <c r="M275" s="3">
        <v>2</v>
      </c>
      <c r="N275" s="4">
        <v>0.2</v>
      </c>
      <c r="O275" s="3">
        <v>6</v>
      </c>
      <c r="P275" s="3">
        <v>3</v>
      </c>
      <c r="Q275" s="4">
        <v>0.3</v>
      </c>
      <c r="R275" s="3" t="str">
        <f t="shared" si="4"/>
        <v>教学三区</v>
      </c>
    </row>
    <row r="276" spans="1:18">
      <c r="A276" s="1" t="s">
        <v>544</v>
      </c>
      <c r="B276" s="1" t="s">
        <v>48</v>
      </c>
      <c r="C276" s="1" t="s">
        <v>64</v>
      </c>
      <c r="D276" s="1" t="s">
        <v>65</v>
      </c>
      <c r="E276" s="1">
        <v>5031</v>
      </c>
      <c r="F276" s="1" t="s">
        <v>66</v>
      </c>
      <c r="G276" s="2">
        <v>43724</v>
      </c>
      <c r="I276" s="3">
        <v>10</v>
      </c>
      <c r="J276" s="3">
        <v>7</v>
      </c>
      <c r="K276" s="4">
        <v>0.7</v>
      </c>
      <c r="L276" s="3">
        <v>2</v>
      </c>
      <c r="M276" s="3">
        <v>0</v>
      </c>
      <c r="N276" s="4">
        <v>0</v>
      </c>
      <c r="O276" s="3">
        <v>8</v>
      </c>
      <c r="P276" s="3">
        <v>7</v>
      </c>
      <c r="Q276" s="4">
        <v>0.7</v>
      </c>
      <c r="R276" s="3" t="str">
        <f t="shared" si="4"/>
        <v>教学三区</v>
      </c>
    </row>
    <row r="277" spans="1:18">
      <c r="A277" s="1" t="s">
        <v>544</v>
      </c>
      <c r="B277" s="1" t="s">
        <v>48</v>
      </c>
      <c r="C277" s="1" t="s">
        <v>64</v>
      </c>
      <c r="D277" s="1" t="s">
        <v>65</v>
      </c>
      <c r="E277" s="1">
        <v>3821</v>
      </c>
      <c r="F277" s="1" t="s">
        <v>757</v>
      </c>
      <c r="G277" s="2">
        <v>43652</v>
      </c>
      <c r="I277" s="3">
        <v>17</v>
      </c>
      <c r="J277" s="3">
        <v>9</v>
      </c>
      <c r="K277" s="4">
        <v>0.529411764705882</v>
      </c>
      <c r="L277" s="3">
        <v>13</v>
      </c>
      <c r="M277" s="3">
        <v>6</v>
      </c>
      <c r="N277" s="4">
        <v>0.352941176470588</v>
      </c>
      <c r="O277" s="3">
        <v>4</v>
      </c>
      <c r="P277" s="3">
        <v>3</v>
      </c>
      <c r="Q277" s="4">
        <v>0.176470588235294</v>
      </c>
      <c r="R277" s="3" t="str">
        <f t="shared" si="4"/>
        <v>教学三区</v>
      </c>
    </row>
    <row r="278" spans="1:18">
      <c r="A278" s="1" t="s">
        <v>544</v>
      </c>
      <c r="B278" s="1" t="s">
        <v>48</v>
      </c>
      <c r="C278" s="1" t="s">
        <v>64</v>
      </c>
      <c r="D278" s="1" t="s">
        <v>65</v>
      </c>
      <c r="E278" s="1">
        <v>4434</v>
      </c>
      <c r="F278" s="1" t="s">
        <v>89</v>
      </c>
      <c r="G278" s="2">
        <v>43685</v>
      </c>
      <c r="I278" s="3">
        <v>1</v>
      </c>
      <c r="J278" s="3">
        <v>0</v>
      </c>
      <c r="K278" s="4">
        <v>0</v>
      </c>
      <c r="L278" s="3">
        <v>1</v>
      </c>
      <c r="M278" s="3">
        <v>0</v>
      </c>
      <c r="N278" s="4">
        <v>0</v>
      </c>
      <c r="O278" s="3">
        <v>0</v>
      </c>
      <c r="P278" s="3">
        <v>0</v>
      </c>
      <c r="Q278" s="4">
        <v>0</v>
      </c>
      <c r="R278" s="3" t="str">
        <f t="shared" si="4"/>
        <v>教学三区</v>
      </c>
    </row>
    <row r="279" spans="1:18">
      <c r="A279" s="1" t="s">
        <v>544</v>
      </c>
      <c r="B279" s="1" t="s">
        <v>48</v>
      </c>
      <c r="C279" s="1" t="s">
        <v>64</v>
      </c>
      <c r="D279" s="1" t="s">
        <v>65</v>
      </c>
      <c r="E279" s="1">
        <v>6428</v>
      </c>
      <c r="F279" s="1" t="s">
        <v>758</v>
      </c>
      <c r="G279" s="2">
        <v>43804</v>
      </c>
      <c r="I279" s="3">
        <v>13</v>
      </c>
      <c r="J279" s="3">
        <v>5</v>
      </c>
      <c r="K279" s="4">
        <v>0.384615384615385</v>
      </c>
      <c r="L279" s="3">
        <v>8</v>
      </c>
      <c r="M279" s="3">
        <v>4</v>
      </c>
      <c r="N279" s="4">
        <v>0.307692307692308</v>
      </c>
      <c r="O279" s="3">
        <v>5</v>
      </c>
      <c r="P279" s="3">
        <v>1</v>
      </c>
      <c r="Q279" s="4">
        <v>0.0769230769230769</v>
      </c>
      <c r="R279" s="3" t="str">
        <f t="shared" si="4"/>
        <v>教学三区</v>
      </c>
    </row>
    <row r="280" spans="1:18">
      <c r="A280" s="1" t="s">
        <v>544</v>
      </c>
      <c r="B280" s="1" t="s">
        <v>29</v>
      </c>
      <c r="C280" s="1" t="s">
        <v>51</v>
      </c>
      <c r="D280" s="1" t="s">
        <v>1</v>
      </c>
      <c r="E280" s="1">
        <v>21953</v>
      </c>
      <c r="F280" s="1" t="s">
        <v>759</v>
      </c>
      <c r="G280" s="2">
        <v>44051</v>
      </c>
      <c r="I280" s="3">
        <v>23</v>
      </c>
      <c r="J280" s="3">
        <v>10</v>
      </c>
      <c r="K280" s="4">
        <v>0.434782608695652</v>
      </c>
      <c r="L280" s="3">
        <v>9</v>
      </c>
      <c r="M280" s="3">
        <v>2</v>
      </c>
      <c r="N280" s="4">
        <v>0.0869565217391304</v>
      </c>
      <c r="O280" s="3">
        <v>14</v>
      </c>
      <c r="P280" s="3">
        <v>8</v>
      </c>
      <c r="Q280" s="4">
        <v>0.347826086956522</v>
      </c>
      <c r="R280" s="3" t="str">
        <f t="shared" si="4"/>
        <v>教学一区</v>
      </c>
    </row>
    <row r="281" spans="1:18">
      <c r="A281" s="1" t="s">
        <v>544</v>
      </c>
      <c r="B281" s="1" t="s">
        <v>48</v>
      </c>
      <c r="C281" s="1" t="s">
        <v>49</v>
      </c>
      <c r="D281" s="1" t="s">
        <v>760</v>
      </c>
      <c r="E281" s="1">
        <v>13114</v>
      </c>
      <c r="F281" s="1" t="s">
        <v>761</v>
      </c>
      <c r="G281" s="2">
        <v>43910</v>
      </c>
      <c r="I281" s="3">
        <v>14</v>
      </c>
      <c r="J281" s="3">
        <v>9</v>
      </c>
      <c r="K281" s="4">
        <v>0.642857142857143</v>
      </c>
      <c r="L281" s="3">
        <v>11</v>
      </c>
      <c r="M281" s="3">
        <v>7</v>
      </c>
      <c r="N281" s="4">
        <v>0.5</v>
      </c>
      <c r="O281" s="3">
        <v>3</v>
      </c>
      <c r="P281" s="3">
        <v>2</v>
      </c>
      <c r="Q281" s="4">
        <v>0.142857142857143</v>
      </c>
      <c r="R281" s="3" t="str">
        <f t="shared" si="4"/>
        <v>教学三区</v>
      </c>
    </row>
    <row r="282" spans="1:18">
      <c r="A282" s="1" t="s">
        <v>544</v>
      </c>
      <c r="B282" s="1" t="s">
        <v>48</v>
      </c>
      <c r="C282" s="1" t="s">
        <v>49</v>
      </c>
      <c r="D282" s="1" t="s">
        <v>760</v>
      </c>
      <c r="E282" s="1">
        <v>59188</v>
      </c>
      <c r="F282" s="1" t="s">
        <v>183</v>
      </c>
      <c r="G282" s="2">
        <v>45283</v>
      </c>
      <c r="I282" s="3">
        <v>7</v>
      </c>
      <c r="J282" s="3">
        <v>2</v>
      </c>
      <c r="K282" s="4">
        <v>0.285714285714286</v>
      </c>
      <c r="L282" s="3">
        <v>0</v>
      </c>
      <c r="M282" s="3">
        <v>0</v>
      </c>
      <c r="N282" s="4">
        <v>0</v>
      </c>
      <c r="O282" s="3">
        <v>7</v>
      </c>
      <c r="P282" s="3">
        <v>2</v>
      </c>
      <c r="Q282" s="4">
        <v>0.285714285714286</v>
      </c>
      <c r="R282" s="3" t="str">
        <f t="shared" si="4"/>
        <v>教学三区</v>
      </c>
    </row>
    <row r="283" spans="1:18">
      <c r="A283" s="1" t="s">
        <v>544</v>
      </c>
      <c r="B283" s="1" t="s">
        <v>48</v>
      </c>
      <c r="C283" s="1" t="s">
        <v>49</v>
      </c>
      <c r="D283" s="1" t="s">
        <v>760</v>
      </c>
      <c r="E283" s="1">
        <v>21629</v>
      </c>
      <c r="F283" s="1" t="s">
        <v>762</v>
      </c>
      <c r="G283" s="2">
        <v>45283</v>
      </c>
      <c r="I283" s="3">
        <v>23</v>
      </c>
      <c r="J283" s="3">
        <v>9</v>
      </c>
      <c r="K283" s="4">
        <v>0.391304347826087</v>
      </c>
      <c r="L283" s="3">
        <v>11</v>
      </c>
      <c r="M283" s="3">
        <v>1</v>
      </c>
      <c r="N283" s="4">
        <v>0.0434782608695652</v>
      </c>
      <c r="O283" s="3">
        <v>12</v>
      </c>
      <c r="P283" s="3">
        <v>8</v>
      </c>
      <c r="Q283" s="4">
        <v>0.347826086956522</v>
      </c>
      <c r="R283" s="3" t="str">
        <f t="shared" si="4"/>
        <v>教学三区</v>
      </c>
    </row>
    <row r="284" spans="1:18">
      <c r="A284" s="1" t="s">
        <v>544</v>
      </c>
      <c r="B284" s="1" t="s">
        <v>48</v>
      </c>
      <c r="C284" s="1" t="s">
        <v>49</v>
      </c>
      <c r="D284" s="1" t="s">
        <v>760</v>
      </c>
      <c r="E284" s="1">
        <v>25447</v>
      </c>
      <c r="F284" s="1" t="s">
        <v>281</v>
      </c>
      <c r="G284" s="2">
        <v>44217</v>
      </c>
      <c r="I284" s="3">
        <v>19</v>
      </c>
      <c r="J284" s="3">
        <v>10</v>
      </c>
      <c r="K284" s="4">
        <v>0.526315789473684</v>
      </c>
      <c r="L284" s="3">
        <v>9</v>
      </c>
      <c r="M284" s="3">
        <v>5</v>
      </c>
      <c r="N284" s="4">
        <v>0.263157894736842</v>
      </c>
      <c r="O284" s="3">
        <v>10</v>
      </c>
      <c r="P284" s="3">
        <v>5</v>
      </c>
      <c r="Q284" s="4">
        <v>0.263157894736842</v>
      </c>
      <c r="R284" s="3" t="str">
        <f t="shared" si="4"/>
        <v>教学三区</v>
      </c>
    </row>
    <row r="285" spans="1:18">
      <c r="A285" s="1" t="s">
        <v>544</v>
      </c>
      <c r="B285" s="1" t="s">
        <v>48</v>
      </c>
      <c r="C285" s="1" t="s">
        <v>49</v>
      </c>
      <c r="D285" s="1" t="s">
        <v>760</v>
      </c>
      <c r="E285" s="1">
        <v>25702</v>
      </c>
      <c r="F285" s="1" t="s">
        <v>763</v>
      </c>
      <c r="G285" s="2">
        <v>44231</v>
      </c>
      <c r="I285" s="3">
        <v>10</v>
      </c>
      <c r="J285" s="3">
        <v>4</v>
      </c>
      <c r="K285" s="4">
        <v>0.4</v>
      </c>
      <c r="L285" s="3">
        <v>6</v>
      </c>
      <c r="M285" s="3">
        <v>1</v>
      </c>
      <c r="N285" s="4">
        <v>0.1</v>
      </c>
      <c r="O285" s="3">
        <v>4</v>
      </c>
      <c r="P285" s="3">
        <v>3</v>
      </c>
      <c r="Q285" s="4">
        <v>0.3</v>
      </c>
      <c r="R285" s="3" t="str">
        <f t="shared" si="4"/>
        <v>教学三区</v>
      </c>
    </row>
    <row r="286" spans="1:18">
      <c r="A286" s="1" t="s">
        <v>544</v>
      </c>
      <c r="B286" s="1" t="s">
        <v>48</v>
      </c>
      <c r="C286" s="1" t="s">
        <v>49</v>
      </c>
      <c r="D286" s="1" t="s">
        <v>760</v>
      </c>
      <c r="E286" s="1">
        <v>26643</v>
      </c>
      <c r="F286" s="1" t="s">
        <v>764</v>
      </c>
      <c r="G286" s="2">
        <v>44294</v>
      </c>
      <c r="I286" s="3">
        <v>21</v>
      </c>
      <c r="J286" s="3">
        <v>6</v>
      </c>
      <c r="K286" s="4">
        <v>0.285714285714286</v>
      </c>
      <c r="L286" s="3">
        <v>16</v>
      </c>
      <c r="M286" s="3">
        <v>3</v>
      </c>
      <c r="N286" s="4">
        <v>0.142857142857143</v>
      </c>
      <c r="O286" s="3">
        <v>5</v>
      </c>
      <c r="P286" s="3">
        <v>3</v>
      </c>
      <c r="Q286" s="4">
        <v>0.142857142857143</v>
      </c>
      <c r="R286" s="3" t="str">
        <f t="shared" si="4"/>
        <v>教学三区</v>
      </c>
    </row>
    <row r="287" spans="1:18">
      <c r="A287" s="1" t="s">
        <v>544</v>
      </c>
      <c r="B287" s="1" t="s">
        <v>48</v>
      </c>
      <c r="C287" s="1" t="s">
        <v>49</v>
      </c>
      <c r="D287" s="1" t="s">
        <v>760</v>
      </c>
      <c r="E287" s="1">
        <v>21632</v>
      </c>
      <c r="F287" s="1" t="s">
        <v>765</v>
      </c>
      <c r="G287" s="2">
        <v>44028</v>
      </c>
      <c r="I287" s="3">
        <v>20</v>
      </c>
      <c r="J287" s="3">
        <v>8</v>
      </c>
      <c r="K287" s="4">
        <v>0.4</v>
      </c>
      <c r="L287" s="3">
        <v>17</v>
      </c>
      <c r="M287" s="3">
        <v>6</v>
      </c>
      <c r="N287" s="4">
        <v>0.3</v>
      </c>
      <c r="O287" s="3">
        <v>3</v>
      </c>
      <c r="P287" s="3">
        <v>2</v>
      </c>
      <c r="Q287" s="4">
        <v>0.1</v>
      </c>
      <c r="R287" s="3" t="str">
        <f t="shared" si="4"/>
        <v>教学三区</v>
      </c>
    </row>
    <row r="288" spans="1:18">
      <c r="A288" s="1" t="s">
        <v>544</v>
      </c>
      <c r="B288" s="1" t="s">
        <v>48</v>
      </c>
      <c r="C288" s="1" t="s">
        <v>49</v>
      </c>
      <c r="D288" s="1" t="s">
        <v>760</v>
      </c>
      <c r="E288" s="1">
        <v>20973</v>
      </c>
      <c r="F288" s="1" t="s">
        <v>766</v>
      </c>
      <c r="G288" s="2">
        <v>43973</v>
      </c>
      <c r="I288" s="3">
        <v>18</v>
      </c>
      <c r="J288" s="3">
        <v>8</v>
      </c>
      <c r="K288" s="4">
        <v>0.444444444444444</v>
      </c>
      <c r="L288" s="3">
        <v>10</v>
      </c>
      <c r="M288" s="3">
        <v>4</v>
      </c>
      <c r="N288" s="4">
        <v>0.222222222222222</v>
      </c>
      <c r="O288" s="3">
        <v>8</v>
      </c>
      <c r="P288" s="3">
        <v>4</v>
      </c>
      <c r="Q288" s="4">
        <v>0.222222222222222</v>
      </c>
      <c r="R288" s="3" t="str">
        <f t="shared" si="4"/>
        <v>教学三区</v>
      </c>
    </row>
    <row r="289" spans="1:18">
      <c r="A289" s="1" t="s">
        <v>544</v>
      </c>
      <c r="B289" s="1" t="s">
        <v>48</v>
      </c>
      <c r="C289" s="1" t="s">
        <v>49</v>
      </c>
      <c r="D289" s="1" t="s">
        <v>760</v>
      </c>
      <c r="E289" s="1">
        <v>24985</v>
      </c>
      <c r="F289" s="1" t="s">
        <v>767</v>
      </c>
      <c r="G289" s="2">
        <v>44188</v>
      </c>
      <c r="I289" s="3">
        <v>23</v>
      </c>
      <c r="J289" s="3">
        <v>14</v>
      </c>
      <c r="K289" s="4">
        <v>0.608695652173913</v>
      </c>
      <c r="L289" s="3">
        <v>16</v>
      </c>
      <c r="M289" s="3">
        <v>7</v>
      </c>
      <c r="N289" s="4">
        <v>0.304347826086957</v>
      </c>
      <c r="O289" s="3">
        <v>7</v>
      </c>
      <c r="P289" s="3">
        <v>7</v>
      </c>
      <c r="Q289" s="4">
        <v>0.304347826086957</v>
      </c>
      <c r="R289" s="3" t="str">
        <f t="shared" si="4"/>
        <v>教学三区</v>
      </c>
    </row>
    <row r="290" spans="1:18">
      <c r="A290" s="1" t="s">
        <v>544</v>
      </c>
      <c r="B290" s="1" t="s">
        <v>48</v>
      </c>
      <c r="C290" s="1" t="s">
        <v>49</v>
      </c>
      <c r="D290" s="1" t="s">
        <v>760</v>
      </c>
      <c r="E290" s="1">
        <v>21572</v>
      </c>
      <c r="F290" s="1" t="s">
        <v>768</v>
      </c>
      <c r="G290" s="2">
        <v>44022</v>
      </c>
      <c r="I290" s="3">
        <v>27</v>
      </c>
      <c r="J290" s="3">
        <v>11</v>
      </c>
      <c r="K290" s="4">
        <v>0.407407407407407</v>
      </c>
      <c r="L290" s="3">
        <v>14</v>
      </c>
      <c r="M290" s="3">
        <v>6</v>
      </c>
      <c r="N290" s="4">
        <v>0.222222222222222</v>
      </c>
      <c r="O290" s="3">
        <v>13</v>
      </c>
      <c r="P290" s="3">
        <v>5</v>
      </c>
      <c r="Q290" s="4">
        <v>0.185185185185185</v>
      </c>
      <c r="R290" s="3" t="str">
        <f t="shared" si="4"/>
        <v>教学三区</v>
      </c>
    </row>
    <row r="291" spans="1:18">
      <c r="A291" s="1" t="s">
        <v>544</v>
      </c>
      <c r="B291" s="1" t="s">
        <v>48</v>
      </c>
      <c r="C291" s="1" t="s">
        <v>49</v>
      </c>
      <c r="D291" s="1" t="s">
        <v>760</v>
      </c>
      <c r="E291" s="1">
        <v>50880</v>
      </c>
      <c r="F291" s="1" t="s">
        <v>769</v>
      </c>
      <c r="G291" s="2">
        <v>44981</v>
      </c>
      <c r="I291" s="3">
        <v>23</v>
      </c>
      <c r="J291" s="3">
        <v>12</v>
      </c>
      <c r="K291" s="4">
        <v>0.521739130434783</v>
      </c>
      <c r="L291" s="3">
        <v>17</v>
      </c>
      <c r="M291" s="3">
        <v>9</v>
      </c>
      <c r="N291" s="4">
        <v>0.391304347826087</v>
      </c>
      <c r="O291" s="3">
        <v>6</v>
      </c>
      <c r="P291" s="3">
        <v>3</v>
      </c>
      <c r="Q291" s="4">
        <v>0.130434782608696</v>
      </c>
      <c r="R291" s="3" t="str">
        <f t="shared" si="4"/>
        <v>教学三区</v>
      </c>
    </row>
    <row r="292" spans="1:18">
      <c r="A292" s="1" t="s">
        <v>544</v>
      </c>
      <c r="B292" s="1" t="s">
        <v>48</v>
      </c>
      <c r="C292" s="1" t="s">
        <v>49</v>
      </c>
      <c r="D292" s="1" t="s">
        <v>760</v>
      </c>
      <c r="E292" s="1">
        <v>6478</v>
      </c>
      <c r="F292" s="1" t="s">
        <v>770</v>
      </c>
      <c r="G292" s="2">
        <v>43811</v>
      </c>
      <c r="I292" s="3">
        <v>23</v>
      </c>
      <c r="J292" s="3">
        <v>7</v>
      </c>
      <c r="K292" s="4">
        <v>0.304347826086957</v>
      </c>
      <c r="L292" s="3">
        <v>12</v>
      </c>
      <c r="M292" s="3">
        <v>2</v>
      </c>
      <c r="N292" s="4">
        <v>0.0869565217391304</v>
      </c>
      <c r="O292" s="3">
        <v>11</v>
      </c>
      <c r="P292" s="3">
        <v>5</v>
      </c>
      <c r="Q292" s="4">
        <v>0.217391304347826</v>
      </c>
      <c r="R292" s="3" t="str">
        <f t="shared" si="4"/>
        <v>教学三区</v>
      </c>
    </row>
    <row r="293" spans="1:18">
      <c r="A293" s="1" t="s">
        <v>544</v>
      </c>
      <c r="B293" s="1" t="s">
        <v>48</v>
      </c>
      <c r="C293" s="1" t="s">
        <v>49</v>
      </c>
      <c r="D293" s="1" t="s">
        <v>77</v>
      </c>
      <c r="E293" s="1">
        <v>72634</v>
      </c>
      <c r="F293" s="1" t="s">
        <v>771</v>
      </c>
      <c r="G293" s="2">
        <v>45619</v>
      </c>
      <c r="I293" s="3">
        <v>19</v>
      </c>
      <c r="J293" s="3">
        <v>12</v>
      </c>
      <c r="K293" s="4">
        <v>0.631578947368421</v>
      </c>
      <c r="L293" s="3">
        <v>1</v>
      </c>
      <c r="M293" s="3">
        <v>0</v>
      </c>
      <c r="N293" s="4">
        <v>0</v>
      </c>
      <c r="O293" s="3">
        <v>18</v>
      </c>
      <c r="P293" s="3">
        <v>12</v>
      </c>
      <c r="Q293" s="4">
        <v>0.631578947368421</v>
      </c>
      <c r="R293" s="3" t="str">
        <f t="shared" si="4"/>
        <v>教学三区</v>
      </c>
    </row>
    <row r="294" spans="1:18">
      <c r="A294" s="1" t="s">
        <v>544</v>
      </c>
      <c r="B294" s="1" t="s">
        <v>48</v>
      </c>
      <c r="C294" s="1" t="s">
        <v>49</v>
      </c>
      <c r="D294" s="1" t="s">
        <v>77</v>
      </c>
      <c r="E294" s="1">
        <v>50526</v>
      </c>
      <c r="F294" s="1" t="s">
        <v>78</v>
      </c>
      <c r="G294" s="2">
        <v>44308</v>
      </c>
      <c r="I294" s="3">
        <v>25</v>
      </c>
      <c r="J294" s="3">
        <v>17</v>
      </c>
      <c r="K294" s="4">
        <v>0.68</v>
      </c>
      <c r="L294" s="3">
        <v>18</v>
      </c>
      <c r="M294" s="3">
        <v>13</v>
      </c>
      <c r="N294" s="4">
        <v>0.52</v>
      </c>
      <c r="O294" s="3">
        <v>7</v>
      </c>
      <c r="P294" s="3">
        <v>4</v>
      </c>
      <c r="Q294" s="4">
        <v>0.16</v>
      </c>
      <c r="R294" s="3" t="str">
        <f t="shared" si="4"/>
        <v>教学三区</v>
      </c>
    </row>
    <row r="295" spans="1:18">
      <c r="A295" s="1" t="s">
        <v>544</v>
      </c>
      <c r="B295" s="1" t="s">
        <v>48</v>
      </c>
      <c r="C295" s="1" t="s">
        <v>49</v>
      </c>
      <c r="D295" s="1" t="s">
        <v>77</v>
      </c>
      <c r="E295" s="1">
        <v>22886</v>
      </c>
      <c r="F295" s="1" t="s">
        <v>506</v>
      </c>
      <c r="G295" s="2">
        <v>44106</v>
      </c>
      <c r="I295" s="3">
        <v>5</v>
      </c>
      <c r="J295" s="3">
        <v>4</v>
      </c>
      <c r="K295" s="4">
        <v>0.8</v>
      </c>
      <c r="L295" s="3">
        <v>3</v>
      </c>
      <c r="M295" s="3">
        <v>3</v>
      </c>
      <c r="N295" s="4">
        <v>0.6</v>
      </c>
      <c r="O295" s="3">
        <v>2</v>
      </c>
      <c r="P295" s="3">
        <v>1</v>
      </c>
      <c r="Q295" s="4">
        <v>0.2</v>
      </c>
      <c r="R295" s="3" t="str">
        <f t="shared" si="4"/>
        <v>教学三区</v>
      </c>
    </row>
    <row r="296" spans="1:18">
      <c r="A296" s="1" t="s">
        <v>544</v>
      </c>
      <c r="B296" s="1" t="s">
        <v>48</v>
      </c>
      <c r="C296" s="1" t="s">
        <v>49</v>
      </c>
      <c r="D296" s="1" t="s">
        <v>77</v>
      </c>
      <c r="E296" s="1">
        <v>4158</v>
      </c>
      <c r="F296" s="1" t="s">
        <v>772</v>
      </c>
      <c r="G296" s="2">
        <v>43675</v>
      </c>
      <c r="I296" s="3">
        <v>20</v>
      </c>
      <c r="J296" s="3">
        <v>5</v>
      </c>
      <c r="K296" s="4">
        <v>0.25</v>
      </c>
      <c r="L296" s="3">
        <v>15</v>
      </c>
      <c r="M296" s="3">
        <v>3</v>
      </c>
      <c r="N296" s="4">
        <v>0.15</v>
      </c>
      <c r="O296" s="3">
        <v>5</v>
      </c>
      <c r="P296" s="3">
        <v>2</v>
      </c>
      <c r="Q296" s="4">
        <v>0.1</v>
      </c>
      <c r="R296" s="3" t="str">
        <f t="shared" si="4"/>
        <v>教学三区</v>
      </c>
    </row>
    <row r="297" spans="1:18">
      <c r="A297" s="1" t="s">
        <v>544</v>
      </c>
      <c r="B297" s="1" t="s">
        <v>48</v>
      </c>
      <c r="C297" s="1" t="s">
        <v>49</v>
      </c>
      <c r="D297" s="1" t="s">
        <v>77</v>
      </c>
      <c r="E297" s="1">
        <v>73688</v>
      </c>
      <c r="F297" s="1" t="s">
        <v>773</v>
      </c>
      <c r="G297" s="2">
        <v>45738</v>
      </c>
      <c r="I297" s="3">
        <v>20</v>
      </c>
      <c r="J297" s="3">
        <v>8</v>
      </c>
      <c r="K297" s="4">
        <v>0.4</v>
      </c>
      <c r="L297" s="3">
        <v>0</v>
      </c>
      <c r="M297" s="3">
        <v>0</v>
      </c>
      <c r="N297" s="4">
        <v>0</v>
      </c>
      <c r="O297" s="3">
        <v>20</v>
      </c>
      <c r="P297" s="3">
        <v>8</v>
      </c>
      <c r="Q297" s="4">
        <v>0.4</v>
      </c>
      <c r="R297" s="3" t="str">
        <f t="shared" si="4"/>
        <v>教学三区</v>
      </c>
    </row>
    <row r="298" spans="1:18">
      <c r="A298" s="1" t="s">
        <v>544</v>
      </c>
      <c r="B298" s="1" t="s">
        <v>48</v>
      </c>
      <c r="C298" s="1" t="s">
        <v>49</v>
      </c>
      <c r="D298" s="1" t="s">
        <v>77</v>
      </c>
      <c r="E298" s="1">
        <v>25812</v>
      </c>
      <c r="F298" s="1" t="s">
        <v>774</v>
      </c>
      <c r="G298" s="2">
        <v>44238</v>
      </c>
      <c r="I298" s="3">
        <v>12</v>
      </c>
      <c r="J298" s="3">
        <v>7</v>
      </c>
      <c r="K298" s="4">
        <v>0.583333333333333</v>
      </c>
      <c r="L298" s="3">
        <v>8</v>
      </c>
      <c r="M298" s="3">
        <v>4</v>
      </c>
      <c r="N298" s="4">
        <v>0.333333333333333</v>
      </c>
      <c r="O298" s="3">
        <v>4</v>
      </c>
      <c r="P298" s="3">
        <v>3</v>
      </c>
      <c r="Q298" s="4">
        <v>0.25</v>
      </c>
      <c r="R298" s="3" t="str">
        <f t="shared" si="4"/>
        <v>教学三区</v>
      </c>
    </row>
    <row r="299" spans="1:18">
      <c r="A299" s="1" t="s">
        <v>544</v>
      </c>
      <c r="B299" s="1" t="s">
        <v>48</v>
      </c>
      <c r="C299" s="1" t="s">
        <v>49</v>
      </c>
      <c r="D299" s="1" t="s">
        <v>77</v>
      </c>
      <c r="E299" s="1">
        <v>4098</v>
      </c>
      <c r="F299" s="1" t="s">
        <v>775</v>
      </c>
      <c r="G299" s="2">
        <v>43669</v>
      </c>
      <c r="I299" s="3">
        <v>23</v>
      </c>
      <c r="J299" s="3">
        <v>8</v>
      </c>
      <c r="K299" s="4">
        <v>0.347826086956522</v>
      </c>
      <c r="L299" s="3">
        <v>16</v>
      </c>
      <c r="M299" s="3">
        <v>5</v>
      </c>
      <c r="N299" s="4">
        <v>0.217391304347826</v>
      </c>
      <c r="O299" s="3">
        <v>7</v>
      </c>
      <c r="P299" s="3">
        <v>3</v>
      </c>
      <c r="Q299" s="4">
        <v>0.130434782608696</v>
      </c>
      <c r="R299" s="3" t="str">
        <f t="shared" si="4"/>
        <v>教学三区</v>
      </c>
    </row>
    <row r="300" spans="1:18">
      <c r="A300" s="1" t="s">
        <v>544</v>
      </c>
      <c r="B300" s="1" t="s">
        <v>48</v>
      </c>
      <c r="C300" s="1" t="s">
        <v>49</v>
      </c>
      <c r="D300" s="1" t="s">
        <v>77</v>
      </c>
      <c r="E300" s="1">
        <v>50528</v>
      </c>
      <c r="F300" s="1" t="s">
        <v>776</v>
      </c>
      <c r="G300" s="2">
        <v>44967</v>
      </c>
      <c r="I300" s="3">
        <v>16</v>
      </c>
      <c r="J300" s="3">
        <v>6</v>
      </c>
      <c r="K300" s="4">
        <v>0.375</v>
      </c>
      <c r="L300" s="3">
        <v>12</v>
      </c>
      <c r="M300" s="3">
        <v>3</v>
      </c>
      <c r="N300" s="4">
        <v>0.1875</v>
      </c>
      <c r="O300" s="3">
        <v>4</v>
      </c>
      <c r="P300" s="3">
        <v>3</v>
      </c>
      <c r="Q300" s="4">
        <v>0.1875</v>
      </c>
      <c r="R300" s="3" t="str">
        <f t="shared" si="4"/>
        <v>教学三区</v>
      </c>
    </row>
    <row r="301" spans="1:18">
      <c r="A301" s="1" t="s">
        <v>544</v>
      </c>
      <c r="B301" s="1" t="s">
        <v>48</v>
      </c>
      <c r="C301" s="1" t="s">
        <v>49</v>
      </c>
      <c r="D301" s="1" t="s">
        <v>77</v>
      </c>
      <c r="E301" s="1">
        <v>73729</v>
      </c>
      <c r="F301" s="1" t="s">
        <v>777</v>
      </c>
      <c r="G301" s="2">
        <v>45738</v>
      </c>
      <c r="I301" s="3">
        <v>13</v>
      </c>
      <c r="J301" s="3">
        <v>8</v>
      </c>
      <c r="K301" s="4">
        <v>0.615384615384615</v>
      </c>
      <c r="L301" s="3">
        <v>0</v>
      </c>
      <c r="M301" s="3">
        <v>0</v>
      </c>
      <c r="N301" s="4">
        <v>0</v>
      </c>
      <c r="O301" s="3">
        <v>13</v>
      </c>
      <c r="P301" s="3">
        <v>8</v>
      </c>
      <c r="Q301" s="4">
        <v>0.615384615384615</v>
      </c>
      <c r="R301" s="3" t="str">
        <f t="shared" si="4"/>
        <v>教学三区</v>
      </c>
    </row>
    <row r="302" spans="1:18">
      <c r="A302" s="1" t="s">
        <v>544</v>
      </c>
      <c r="B302" s="1" t="s">
        <v>48</v>
      </c>
      <c r="C302" s="1" t="s">
        <v>49</v>
      </c>
      <c r="D302" s="1" t="s">
        <v>77</v>
      </c>
      <c r="E302" s="1">
        <v>23057</v>
      </c>
      <c r="F302" s="1" t="s">
        <v>778</v>
      </c>
      <c r="G302" s="2">
        <v>44114</v>
      </c>
      <c r="I302" s="3">
        <v>15</v>
      </c>
      <c r="J302" s="3">
        <v>6</v>
      </c>
      <c r="K302" s="4">
        <v>0.4</v>
      </c>
      <c r="L302" s="3">
        <v>12</v>
      </c>
      <c r="M302" s="3">
        <v>4</v>
      </c>
      <c r="N302" s="4">
        <v>0.266666666666667</v>
      </c>
      <c r="O302" s="3">
        <v>3</v>
      </c>
      <c r="P302" s="3">
        <v>2</v>
      </c>
      <c r="Q302" s="4">
        <v>0.133333333333333</v>
      </c>
      <c r="R302" s="3" t="str">
        <f t="shared" si="4"/>
        <v>教学三区</v>
      </c>
    </row>
    <row r="303" spans="1:18">
      <c r="A303" s="1" t="s">
        <v>544</v>
      </c>
      <c r="B303" s="1" t="s">
        <v>48</v>
      </c>
      <c r="C303" s="1" t="s">
        <v>49</v>
      </c>
      <c r="D303" s="1" t="s">
        <v>77</v>
      </c>
      <c r="E303" s="1">
        <v>6336</v>
      </c>
      <c r="F303" s="1" t="s">
        <v>779</v>
      </c>
      <c r="G303" s="2">
        <v>43804</v>
      </c>
      <c r="I303" s="3">
        <v>13</v>
      </c>
      <c r="J303" s="3">
        <v>4</v>
      </c>
      <c r="K303" s="4">
        <v>0.307692307692308</v>
      </c>
      <c r="L303" s="3">
        <v>11</v>
      </c>
      <c r="M303" s="3">
        <v>4</v>
      </c>
      <c r="N303" s="4">
        <v>0.307692307692308</v>
      </c>
      <c r="O303" s="3">
        <v>2</v>
      </c>
      <c r="P303" s="3">
        <v>0</v>
      </c>
      <c r="Q303" s="4">
        <v>0</v>
      </c>
      <c r="R303" s="3" t="str">
        <f t="shared" si="4"/>
        <v>教学三区</v>
      </c>
    </row>
    <row r="304" spans="1:18">
      <c r="A304" s="1" t="s">
        <v>544</v>
      </c>
      <c r="B304" s="1" t="s">
        <v>48</v>
      </c>
      <c r="C304" s="1" t="s">
        <v>49</v>
      </c>
      <c r="D304" s="1" t="s">
        <v>77</v>
      </c>
      <c r="E304" s="1">
        <v>23209</v>
      </c>
      <c r="F304" s="1" t="s">
        <v>476</v>
      </c>
      <c r="G304" s="2">
        <v>44120</v>
      </c>
      <c r="I304" s="3">
        <v>5</v>
      </c>
      <c r="J304" s="3">
        <v>2</v>
      </c>
      <c r="K304" s="4">
        <v>0.4</v>
      </c>
      <c r="L304" s="3">
        <v>3</v>
      </c>
      <c r="M304" s="3">
        <v>0</v>
      </c>
      <c r="N304" s="4">
        <v>0</v>
      </c>
      <c r="O304" s="3">
        <v>2</v>
      </c>
      <c r="P304" s="3">
        <v>2</v>
      </c>
      <c r="Q304" s="4">
        <v>0.4</v>
      </c>
      <c r="R304" s="3" t="str">
        <f t="shared" si="4"/>
        <v>教学三区</v>
      </c>
    </row>
    <row r="305" spans="1:18">
      <c r="A305" s="1" t="s">
        <v>544</v>
      </c>
      <c r="B305" s="1" t="s">
        <v>48</v>
      </c>
      <c r="C305" s="1" t="s">
        <v>49</v>
      </c>
      <c r="D305" s="1" t="s">
        <v>54</v>
      </c>
      <c r="E305" s="1">
        <v>21214</v>
      </c>
      <c r="F305" s="1" t="s">
        <v>780</v>
      </c>
      <c r="G305" s="2">
        <v>43995</v>
      </c>
      <c r="I305" s="3">
        <v>17</v>
      </c>
      <c r="J305" s="3">
        <v>9</v>
      </c>
      <c r="K305" s="4">
        <v>0.529411764705882</v>
      </c>
      <c r="L305" s="3">
        <v>8</v>
      </c>
      <c r="M305" s="3">
        <v>5</v>
      </c>
      <c r="N305" s="4">
        <v>0.294117647058824</v>
      </c>
      <c r="O305" s="3">
        <v>9</v>
      </c>
      <c r="P305" s="3">
        <v>4</v>
      </c>
      <c r="Q305" s="4">
        <v>0.235294117647059</v>
      </c>
      <c r="R305" s="3" t="str">
        <f t="shared" si="4"/>
        <v>教学三区</v>
      </c>
    </row>
    <row r="306" spans="1:18">
      <c r="A306" s="1" t="s">
        <v>544</v>
      </c>
      <c r="B306" s="1" t="s">
        <v>48</v>
      </c>
      <c r="C306" s="1" t="s">
        <v>49</v>
      </c>
      <c r="D306" s="1" t="s">
        <v>54</v>
      </c>
      <c r="E306" s="1">
        <v>74039</v>
      </c>
      <c r="F306" s="1" t="s">
        <v>497</v>
      </c>
      <c r="G306" s="2">
        <v>45766</v>
      </c>
      <c r="I306" s="3">
        <v>3</v>
      </c>
      <c r="J306" s="3">
        <v>3</v>
      </c>
      <c r="K306" s="4">
        <v>1</v>
      </c>
      <c r="L306" s="3">
        <v>0</v>
      </c>
      <c r="M306" s="3">
        <v>0</v>
      </c>
      <c r="N306" s="4">
        <v>0</v>
      </c>
      <c r="O306" s="3">
        <v>3</v>
      </c>
      <c r="P306" s="3">
        <v>3</v>
      </c>
      <c r="Q306" s="4">
        <v>1</v>
      </c>
      <c r="R306" s="3" t="str">
        <f t="shared" si="4"/>
        <v>教学三区</v>
      </c>
    </row>
    <row r="307" spans="1:18">
      <c r="A307" s="1" t="s">
        <v>544</v>
      </c>
      <c r="B307" s="1" t="s">
        <v>48</v>
      </c>
      <c r="C307" s="1" t="s">
        <v>49</v>
      </c>
      <c r="D307" s="1" t="s">
        <v>54</v>
      </c>
      <c r="E307" s="1">
        <v>22034</v>
      </c>
      <c r="F307" s="1" t="s">
        <v>781</v>
      </c>
      <c r="G307" s="2">
        <v>44051</v>
      </c>
      <c r="I307" s="3">
        <v>24</v>
      </c>
      <c r="J307" s="3">
        <v>13</v>
      </c>
      <c r="K307" s="4">
        <v>0.541666666666667</v>
      </c>
      <c r="L307" s="3">
        <v>19</v>
      </c>
      <c r="M307" s="3">
        <v>11</v>
      </c>
      <c r="N307" s="4">
        <v>0.458333333333333</v>
      </c>
      <c r="O307" s="3">
        <v>5</v>
      </c>
      <c r="P307" s="3">
        <v>2</v>
      </c>
      <c r="Q307" s="4">
        <v>0.0833333333333333</v>
      </c>
      <c r="R307" s="3" t="str">
        <f t="shared" si="4"/>
        <v>教学三区</v>
      </c>
    </row>
    <row r="308" spans="1:18">
      <c r="A308" s="1" t="s">
        <v>544</v>
      </c>
      <c r="B308" s="1" t="s">
        <v>48</v>
      </c>
      <c r="C308" s="1" t="s">
        <v>49</v>
      </c>
      <c r="D308" s="1" t="s">
        <v>54</v>
      </c>
      <c r="E308" s="1">
        <v>25100</v>
      </c>
      <c r="F308" s="1" t="s">
        <v>782</v>
      </c>
      <c r="G308" s="2">
        <v>44195</v>
      </c>
      <c r="I308" s="3">
        <v>7</v>
      </c>
      <c r="J308" s="3">
        <v>3</v>
      </c>
      <c r="K308" s="4">
        <v>0.428571428571429</v>
      </c>
      <c r="L308" s="3">
        <v>6</v>
      </c>
      <c r="M308" s="3">
        <v>2</v>
      </c>
      <c r="N308" s="4">
        <v>0.285714285714286</v>
      </c>
      <c r="O308" s="3">
        <v>1</v>
      </c>
      <c r="P308" s="3">
        <v>1</v>
      </c>
      <c r="Q308" s="4">
        <v>0.142857142857143</v>
      </c>
      <c r="R308" s="3" t="str">
        <f t="shared" si="4"/>
        <v>教学三区</v>
      </c>
    </row>
    <row r="309" spans="1:18">
      <c r="A309" s="1" t="s">
        <v>544</v>
      </c>
      <c r="B309" s="1" t="s">
        <v>48</v>
      </c>
      <c r="C309" s="1" t="s">
        <v>49</v>
      </c>
      <c r="D309" s="1" t="s">
        <v>54</v>
      </c>
      <c r="E309" s="1">
        <v>6249</v>
      </c>
      <c r="F309" s="1" t="s">
        <v>63</v>
      </c>
      <c r="G309" s="2">
        <v>43797</v>
      </c>
      <c r="I309" s="3">
        <v>11</v>
      </c>
      <c r="J309" s="3">
        <v>8</v>
      </c>
      <c r="K309" s="4">
        <v>0.727272727272727</v>
      </c>
      <c r="L309" s="3">
        <v>5</v>
      </c>
      <c r="M309" s="3">
        <v>3</v>
      </c>
      <c r="N309" s="4">
        <v>0.272727272727273</v>
      </c>
      <c r="O309" s="3">
        <v>6</v>
      </c>
      <c r="P309" s="3">
        <v>5</v>
      </c>
      <c r="Q309" s="4">
        <v>0.454545454545455</v>
      </c>
      <c r="R309" s="3" t="str">
        <f t="shared" si="4"/>
        <v>教学三区</v>
      </c>
    </row>
    <row r="310" spans="1:18">
      <c r="A310" s="1" t="s">
        <v>544</v>
      </c>
      <c r="B310" s="1" t="s">
        <v>48</v>
      </c>
      <c r="C310" s="1" t="s">
        <v>49</v>
      </c>
      <c r="D310" s="1" t="s">
        <v>54</v>
      </c>
      <c r="E310" s="1">
        <v>4612</v>
      </c>
      <c r="F310" s="1" t="s">
        <v>114</v>
      </c>
      <c r="G310" s="2">
        <v>43713</v>
      </c>
      <c r="I310" s="3">
        <v>23</v>
      </c>
      <c r="J310" s="3">
        <v>8</v>
      </c>
      <c r="K310" s="4">
        <v>0.347826086956522</v>
      </c>
      <c r="L310" s="3">
        <v>20</v>
      </c>
      <c r="M310" s="3">
        <v>7</v>
      </c>
      <c r="N310" s="4">
        <v>0.304347826086957</v>
      </c>
      <c r="O310" s="3">
        <v>3</v>
      </c>
      <c r="P310" s="3">
        <v>1</v>
      </c>
      <c r="Q310" s="4">
        <v>0.0434782608695652</v>
      </c>
      <c r="R310" s="3" t="str">
        <f t="shared" si="4"/>
        <v>教学三区</v>
      </c>
    </row>
    <row r="311" spans="1:18">
      <c r="A311" s="1" t="s">
        <v>544</v>
      </c>
      <c r="B311" s="1" t="s">
        <v>48</v>
      </c>
      <c r="C311" s="1" t="s">
        <v>49</v>
      </c>
      <c r="D311" s="1" t="s">
        <v>54</v>
      </c>
      <c r="E311" s="1">
        <v>23872</v>
      </c>
      <c r="F311" s="1" t="s">
        <v>515</v>
      </c>
      <c r="G311" s="2">
        <v>45803</v>
      </c>
      <c r="I311" s="3">
        <v>16</v>
      </c>
      <c r="J311" s="3">
        <v>9</v>
      </c>
      <c r="K311" s="4">
        <v>0.5625</v>
      </c>
      <c r="L311" s="3">
        <v>5</v>
      </c>
      <c r="M311" s="3">
        <v>4</v>
      </c>
      <c r="N311" s="4">
        <v>0.25</v>
      </c>
      <c r="O311" s="3">
        <v>11</v>
      </c>
      <c r="P311" s="3">
        <v>5</v>
      </c>
      <c r="Q311" s="4">
        <v>0.3125</v>
      </c>
      <c r="R311" s="3" t="str">
        <f t="shared" si="4"/>
        <v>教学三区</v>
      </c>
    </row>
    <row r="312" spans="1:18">
      <c r="A312" s="1" t="s">
        <v>544</v>
      </c>
      <c r="B312" s="1" t="s">
        <v>48</v>
      </c>
      <c r="C312" s="1" t="s">
        <v>49</v>
      </c>
      <c r="D312" s="1" t="s">
        <v>54</v>
      </c>
      <c r="E312" s="1">
        <v>21198</v>
      </c>
      <c r="F312" s="1" t="s">
        <v>783</v>
      </c>
      <c r="G312" s="2">
        <v>43995</v>
      </c>
      <c r="I312" s="3">
        <v>18</v>
      </c>
      <c r="J312" s="3">
        <v>10</v>
      </c>
      <c r="K312" s="4">
        <v>0.555555555555556</v>
      </c>
      <c r="L312" s="3">
        <v>16</v>
      </c>
      <c r="M312" s="3">
        <v>9</v>
      </c>
      <c r="N312" s="4">
        <v>0.5</v>
      </c>
      <c r="O312" s="3">
        <v>2</v>
      </c>
      <c r="P312" s="3">
        <v>1</v>
      </c>
      <c r="Q312" s="4">
        <v>0.0555555555555556</v>
      </c>
      <c r="R312" s="3" t="str">
        <f t="shared" si="4"/>
        <v>教学三区</v>
      </c>
    </row>
    <row r="313" spans="1:18">
      <c r="A313" s="1" t="s">
        <v>544</v>
      </c>
      <c r="B313" s="1" t="s">
        <v>48</v>
      </c>
      <c r="C313" s="1" t="s">
        <v>49</v>
      </c>
      <c r="D313" s="1" t="s">
        <v>54</v>
      </c>
      <c r="E313" s="1">
        <v>21461</v>
      </c>
      <c r="F313" s="1" t="s">
        <v>784</v>
      </c>
      <c r="G313" s="2">
        <v>44015</v>
      </c>
      <c r="I313" s="3">
        <v>14</v>
      </c>
      <c r="J313" s="3">
        <v>6</v>
      </c>
      <c r="K313" s="4">
        <v>0.428571428571429</v>
      </c>
      <c r="L313" s="3">
        <v>10</v>
      </c>
      <c r="M313" s="3">
        <v>4</v>
      </c>
      <c r="N313" s="4">
        <v>0.285714285714286</v>
      </c>
      <c r="O313" s="3">
        <v>4</v>
      </c>
      <c r="P313" s="3">
        <v>2</v>
      </c>
      <c r="Q313" s="4">
        <v>0.142857142857143</v>
      </c>
      <c r="R313" s="3" t="str">
        <f t="shared" si="4"/>
        <v>教学三区</v>
      </c>
    </row>
    <row r="314" spans="1:18">
      <c r="A314" s="1" t="s">
        <v>544</v>
      </c>
      <c r="B314" s="1" t="s">
        <v>48</v>
      </c>
      <c r="C314" s="1" t="s">
        <v>49</v>
      </c>
      <c r="D314" s="1" t="s">
        <v>54</v>
      </c>
      <c r="E314" s="1">
        <v>70297</v>
      </c>
      <c r="F314" s="1" t="s">
        <v>55</v>
      </c>
      <c r="G314" s="2">
        <v>45409</v>
      </c>
      <c r="I314" s="3">
        <v>9</v>
      </c>
      <c r="J314" s="3">
        <v>7</v>
      </c>
      <c r="K314" s="4">
        <v>0.777777777777778</v>
      </c>
      <c r="L314" s="3">
        <v>2</v>
      </c>
      <c r="M314" s="3">
        <v>1</v>
      </c>
      <c r="N314" s="4">
        <v>0.111111111111111</v>
      </c>
      <c r="O314" s="3">
        <v>7</v>
      </c>
      <c r="P314" s="3">
        <v>6</v>
      </c>
      <c r="Q314" s="4">
        <v>0.666666666666667</v>
      </c>
      <c r="R314" s="3" t="str">
        <f t="shared" si="4"/>
        <v>教学三区</v>
      </c>
    </row>
    <row r="315" spans="1:18">
      <c r="A315" s="1" t="s">
        <v>544</v>
      </c>
      <c r="B315" s="1" t="s">
        <v>48</v>
      </c>
      <c r="C315" s="1" t="s">
        <v>49</v>
      </c>
      <c r="D315" s="1" t="s">
        <v>54</v>
      </c>
      <c r="E315" s="1">
        <v>23205</v>
      </c>
      <c r="F315" s="1" t="s">
        <v>785</v>
      </c>
      <c r="G315" s="2">
        <v>44120</v>
      </c>
      <c r="I315" s="3">
        <v>13</v>
      </c>
      <c r="J315" s="3">
        <v>8</v>
      </c>
      <c r="K315" s="4">
        <v>0.615384615384615</v>
      </c>
      <c r="L315" s="3">
        <v>8</v>
      </c>
      <c r="M315" s="3">
        <v>5</v>
      </c>
      <c r="N315" s="4">
        <v>0.384615384615385</v>
      </c>
      <c r="O315" s="3">
        <v>5</v>
      </c>
      <c r="P315" s="3">
        <v>3</v>
      </c>
      <c r="Q315" s="4">
        <v>0.230769230769231</v>
      </c>
      <c r="R315" s="3" t="str">
        <f t="shared" si="4"/>
        <v>教学三区</v>
      </c>
    </row>
    <row r="316" spans="1:18">
      <c r="A316" s="1" t="s">
        <v>544</v>
      </c>
      <c r="B316" s="1" t="s">
        <v>48</v>
      </c>
      <c r="C316" s="1" t="s">
        <v>49</v>
      </c>
      <c r="D316" s="1" t="s">
        <v>54</v>
      </c>
      <c r="E316" s="1">
        <v>23199</v>
      </c>
      <c r="F316" s="1" t="s">
        <v>786</v>
      </c>
      <c r="G316" s="2">
        <v>44120</v>
      </c>
      <c r="I316" s="3">
        <v>8</v>
      </c>
      <c r="J316" s="3">
        <v>3</v>
      </c>
      <c r="K316" s="4">
        <v>0.375</v>
      </c>
      <c r="L316" s="3">
        <v>5</v>
      </c>
      <c r="M316" s="3">
        <v>1</v>
      </c>
      <c r="N316" s="4">
        <v>0.125</v>
      </c>
      <c r="O316" s="3">
        <v>3</v>
      </c>
      <c r="P316" s="3">
        <v>2</v>
      </c>
      <c r="Q316" s="4">
        <v>0.25</v>
      </c>
      <c r="R316" s="3" t="str">
        <f t="shared" si="4"/>
        <v>教学三区</v>
      </c>
    </row>
    <row r="317" spans="1:18">
      <c r="A317" s="1" t="s">
        <v>544</v>
      </c>
      <c r="B317" s="1" t="s">
        <v>48</v>
      </c>
      <c r="C317" s="1" t="s">
        <v>49</v>
      </c>
      <c r="D317" s="1" t="s">
        <v>58</v>
      </c>
      <c r="E317" s="1">
        <v>62769</v>
      </c>
      <c r="F317" s="1" t="s">
        <v>74</v>
      </c>
      <c r="G317" s="2">
        <v>44996</v>
      </c>
      <c r="I317" s="3">
        <v>16</v>
      </c>
      <c r="J317" s="3">
        <v>11</v>
      </c>
      <c r="K317" s="4">
        <v>0.6875</v>
      </c>
      <c r="L317" s="3">
        <v>12</v>
      </c>
      <c r="M317" s="3">
        <v>7</v>
      </c>
      <c r="N317" s="4">
        <v>0.4375</v>
      </c>
      <c r="O317" s="3">
        <v>4</v>
      </c>
      <c r="P317" s="3">
        <v>4</v>
      </c>
      <c r="Q317" s="4">
        <v>0.25</v>
      </c>
      <c r="R317" s="3" t="str">
        <f t="shared" si="4"/>
        <v>教学三区</v>
      </c>
    </row>
    <row r="318" spans="1:18">
      <c r="A318" s="1" t="s">
        <v>544</v>
      </c>
      <c r="B318" s="1" t="s">
        <v>48</v>
      </c>
      <c r="C318" s="1" t="s">
        <v>49</v>
      </c>
      <c r="D318" s="1" t="s">
        <v>58</v>
      </c>
      <c r="E318" s="1">
        <v>21563</v>
      </c>
      <c r="F318" s="1" t="s">
        <v>59</v>
      </c>
      <c r="G318" s="2">
        <v>44022</v>
      </c>
      <c r="I318" s="3">
        <v>16</v>
      </c>
      <c r="J318" s="3">
        <v>12</v>
      </c>
      <c r="K318" s="4">
        <v>0.75</v>
      </c>
      <c r="L318" s="3">
        <v>6</v>
      </c>
      <c r="M318" s="3">
        <v>3</v>
      </c>
      <c r="N318" s="4">
        <v>0.1875</v>
      </c>
      <c r="O318" s="3">
        <v>10</v>
      </c>
      <c r="P318" s="3">
        <v>9</v>
      </c>
      <c r="Q318" s="4">
        <v>0.5625</v>
      </c>
      <c r="R318" s="3" t="str">
        <f t="shared" si="4"/>
        <v>教学三区</v>
      </c>
    </row>
    <row r="319" spans="1:18">
      <c r="A319" s="1" t="s">
        <v>544</v>
      </c>
      <c r="B319" s="1" t="s">
        <v>48</v>
      </c>
      <c r="C319" s="1" t="s">
        <v>49</v>
      </c>
      <c r="D319" s="1" t="s">
        <v>58</v>
      </c>
      <c r="E319" s="1">
        <v>6369</v>
      </c>
      <c r="F319" s="1" t="s">
        <v>71</v>
      </c>
      <c r="G319" s="2">
        <v>43804</v>
      </c>
      <c r="I319" s="3">
        <v>13</v>
      </c>
      <c r="J319" s="3">
        <v>9</v>
      </c>
      <c r="K319" s="4">
        <v>0.692307692307692</v>
      </c>
      <c r="L319" s="3">
        <v>9</v>
      </c>
      <c r="M319" s="3">
        <v>6</v>
      </c>
      <c r="N319" s="4">
        <v>0.461538461538462</v>
      </c>
      <c r="O319" s="3">
        <v>4</v>
      </c>
      <c r="P319" s="3">
        <v>3</v>
      </c>
      <c r="Q319" s="4">
        <v>0.230769230769231</v>
      </c>
      <c r="R319" s="3" t="str">
        <f t="shared" si="4"/>
        <v>教学三区</v>
      </c>
    </row>
    <row r="320" spans="1:18">
      <c r="A320" s="1" t="s">
        <v>544</v>
      </c>
      <c r="B320" s="1" t="s">
        <v>48</v>
      </c>
      <c r="C320" s="1" t="s">
        <v>49</v>
      </c>
      <c r="D320" s="1" t="s">
        <v>58</v>
      </c>
      <c r="E320" s="1">
        <v>23668</v>
      </c>
      <c r="F320" s="1" t="s">
        <v>787</v>
      </c>
      <c r="G320" s="2">
        <v>44147</v>
      </c>
      <c r="I320" s="3">
        <v>17</v>
      </c>
      <c r="J320" s="3">
        <v>6</v>
      </c>
      <c r="K320" s="4">
        <v>0.352941176470588</v>
      </c>
      <c r="L320" s="3">
        <v>12</v>
      </c>
      <c r="M320" s="3">
        <v>4</v>
      </c>
      <c r="N320" s="4">
        <v>0.235294117647059</v>
      </c>
      <c r="O320" s="3">
        <v>5</v>
      </c>
      <c r="P320" s="3">
        <v>2</v>
      </c>
      <c r="Q320" s="4">
        <v>0.117647058823529</v>
      </c>
      <c r="R320" s="3" t="str">
        <f t="shared" si="4"/>
        <v>教学三区</v>
      </c>
    </row>
    <row r="321" spans="1:18">
      <c r="A321" s="1" t="s">
        <v>544</v>
      </c>
      <c r="B321" s="1" t="s">
        <v>48</v>
      </c>
      <c r="C321" s="1" t="s">
        <v>49</v>
      </c>
      <c r="D321" s="1" t="s">
        <v>58</v>
      </c>
      <c r="E321" s="1">
        <v>21552</v>
      </c>
      <c r="F321" s="1" t="s">
        <v>788</v>
      </c>
      <c r="G321" s="2">
        <v>44022</v>
      </c>
      <c r="I321" s="3">
        <v>25</v>
      </c>
      <c r="J321" s="3">
        <v>14</v>
      </c>
      <c r="K321" s="4">
        <v>0.56</v>
      </c>
      <c r="L321" s="3">
        <v>13</v>
      </c>
      <c r="M321" s="3">
        <v>6</v>
      </c>
      <c r="N321" s="4">
        <v>0.24</v>
      </c>
      <c r="O321" s="3">
        <v>12</v>
      </c>
      <c r="P321" s="3">
        <v>8</v>
      </c>
      <c r="Q321" s="4">
        <v>0.32</v>
      </c>
      <c r="R321" s="3" t="str">
        <f t="shared" si="4"/>
        <v>教学三区</v>
      </c>
    </row>
    <row r="322" spans="1:18">
      <c r="A322" s="1" t="s">
        <v>544</v>
      </c>
      <c r="B322" s="1" t="s">
        <v>48</v>
      </c>
      <c r="C322" s="1" t="s">
        <v>49</v>
      </c>
      <c r="D322" s="1" t="s">
        <v>58</v>
      </c>
      <c r="E322" s="1">
        <v>23037</v>
      </c>
      <c r="F322" s="1" t="s">
        <v>789</v>
      </c>
      <c r="G322" s="2">
        <v>44161</v>
      </c>
      <c r="I322" s="3">
        <v>19</v>
      </c>
      <c r="J322" s="3">
        <v>7</v>
      </c>
      <c r="K322" s="4">
        <v>0.368421052631579</v>
      </c>
      <c r="L322" s="3">
        <v>13</v>
      </c>
      <c r="M322" s="3">
        <v>3</v>
      </c>
      <c r="N322" s="4">
        <v>0.157894736842105</v>
      </c>
      <c r="O322" s="3">
        <v>6</v>
      </c>
      <c r="P322" s="3">
        <v>4</v>
      </c>
      <c r="Q322" s="4">
        <v>0.210526315789474</v>
      </c>
      <c r="R322" s="3" t="str">
        <f t="shared" si="4"/>
        <v>教学三区</v>
      </c>
    </row>
    <row r="323" spans="1:18">
      <c r="A323" s="1" t="s">
        <v>544</v>
      </c>
      <c r="B323" s="1" t="s">
        <v>48</v>
      </c>
      <c r="C323" s="1" t="s">
        <v>49</v>
      </c>
      <c r="D323" s="1" t="s">
        <v>58</v>
      </c>
      <c r="E323" s="1">
        <v>26632</v>
      </c>
      <c r="F323" s="1" t="s">
        <v>790</v>
      </c>
      <c r="G323" s="2">
        <v>44294</v>
      </c>
      <c r="I323" s="3">
        <v>14</v>
      </c>
      <c r="J323" s="3">
        <v>4</v>
      </c>
      <c r="K323" s="4">
        <v>0.285714285714286</v>
      </c>
      <c r="L323" s="3">
        <v>10</v>
      </c>
      <c r="M323" s="3">
        <v>3</v>
      </c>
      <c r="N323" s="4">
        <v>0.214285714285714</v>
      </c>
      <c r="O323" s="3">
        <v>4</v>
      </c>
      <c r="P323" s="3">
        <v>1</v>
      </c>
      <c r="Q323" s="4">
        <v>0.0714285714285714</v>
      </c>
      <c r="R323" s="3" t="str">
        <f t="shared" ref="R323:R342" si="5">B323</f>
        <v>教学三区</v>
      </c>
    </row>
    <row r="324" spans="1:18">
      <c r="A324" s="1" t="s">
        <v>544</v>
      </c>
      <c r="B324" s="1" t="s">
        <v>48</v>
      </c>
      <c r="C324" s="1" t="s">
        <v>49</v>
      </c>
      <c r="D324" s="1" t="s">
        <v>58</v>
      </c>
      <c r="E324" s="1">
        <v>5713</v>
      </c>
      <c r="F324" s="1" t="s">
        <v>791</v>
      </c>
      <c r="G324" s="2">
        <v>43769</v>
      </c>
      <c r="I324" s="3">
        <v>17</v>
      </c>
      <c r="J324" s="3">
        <v>7</v>
      </c>
      <c r="K324" s="4">
        <v>0.411764705882353</v>
      </c>
      <c r="L324" s="3">
        <v>13</v>
      </c>
      <c r="M324" s="3">
        <v>4</v>
      </c>
      <c r="N324" s="4">
        <v>0.235294117647059</v>
      </c>
      <c r="O324" s="3">
        <v>4</v>
      </c>
      <c r="P324" s="3">
        <v>3</v>
      </c>
      <c r="Q324" s="4">
        <v>0.176470588235294</v>
      </c>
      <c r="R324" s="3" t="str">
        <f t="shared" si="5"/>
        <v>教学三区</v>
      </c>
    </row>
    <row r="325" spans="1:18">
      <c r="A325" s="1" t="s">
        <v>544</v>
      </c>
      <c r="B325" s="1" t="s">
        <v>48</v>
      </c>
      <c r="C325" s="1" t="s">
        <v>49</v>
      </c>
      <c r="D325" s="1" t="s">
        <v>58</v>
      </c>
      <c r="E325" s="1">
        <v>53086</v>
      </c>
      <c r="F325" s="1" t="s">
        <v>792</v>
      </c>
      <c r="G325" s="2">
        <v>44491</v>
      </c>
      <c r="I325" s="3">
        <v>20</v>
      </c>
      <c r="J325" s="3">
        <v>6</v>
      </c>
      <c r="K325" s="4">
        <v>0.3</v>
      </c>
      <c r="L325" s="3">
        <v>12</v>
      </c>
      <c r="M325" s="3">
        <v>3</v>
      </c>
      <c r="N325" s="4">
        <v>0.15</v>
      </c>
      <c r="O325" s="3">
        <v>8</v>
      </c>
      <c r="P325" s="3">
        <v>3</v>
      </c>
      <c r="Q325" s="4">
        <v>0.15</v>
      </c>
      <c r="R325" s="3" t="str">
        <f t="shared" si="5"/>
        <v>教学三区</v>
      </c>
    </row>
    <row r="326" spans="1:18">
      <c r="A326" s="1" t="s">
        <v>544</v>
      </c>
      <c r="B326" s="1" t="s">
        <v>48</v>
      </c>
      <c r="C326" s="1" t="s">
        <v>49</v>
      </c>
      <c r="D326" s="1" t="s">
        <v>58</v>
      </c>
      <c r="E326" s="1">
        <v>50268</v>
      </c>
      <c r="F326" s="1" t="s">
        <v>793</v>
      </c>
      <c r="G326" s="2">
        <v>44301</v>
      </c>
      <c r="I326" s="3">
        <v>21</v>
      </c>
      <c r="J326" s="3">
        <v>7</v>
      </c>
      <c r="K326" s="4">
        <v>0.333333333333333</v>
      </c>
      <c r="L326" s="3">
        <v>13</v>
      </c>
      <c r="M326" s="3">
        <v>3</v>
      </c>
      <c r="N326" s="4">
        <v>0.142857142857143</v>
      </c>
      <c r="O326" s="3">
        <v>8</v>
      </c>
      <c r="P326" s="3">
        <v>4</v>
      </c>
      <c r="Q326" s="4">
        <v>0.19047619047619</v>
      </c>
      <c r="R326" s="3" t="str">
        <f t="shared" si="5"/>
        <v>教学三区</v>
      </c>
    </row>
    <row r="327" spans="1:18">
      <c r="A327" s="1" t="s">
        <v>544</v>
      </c>
      <c r="B327" s="1" t="s">
        <v>48</v>
      </c>
      <c r="C327" s="1" t="s">
        <v>49</v>
      </c>
      <c r="D327" s="1" t="s">
        <v>58</v>
      </c>
      <c r="E327" s="1">
        <v>21579</v>
      </c>
      <c r="F327" s="1" t="s">
        <v>451</v>
      </c>
      <c r="G327" s="2">
        <v>44022</v>
      </c>
      <c r="I327" s="3">
        <v>3</v>
      </c>
      <c r="J327" s="3">
        <v>1</v>
      </c>
      <c r="K327" s="4">
        <v>0.333333333333333</v>
      </c>
      <c r="L327" s="3">
        <v>2</v>
      </c>
      <c r="M327" s="3">
        <v>1</v>
      </c>
      <c r="N327" s="4">
        <v>0.333333333333333</v>
      </c>
      <c r="O327" s="3">
        <v>1</v>
      </c>
      <c r="P327" s="3">
        <v>0</v>
      </c>
      <c r="Q327" s="4">
        <v>0</v>
      </c>
      <c r="R327" s="3" t="str">
        <f t="shared" si="5"/>
        <v>教学三区</v>
      </c>
    </row>
    <row r="328" spans="1:18">
      <c r="A328" s="1" t="s">
        <v>544</v>
      </c>
      <c r="B328" s="1" t="s">
        <v>48</v>
      </c>
      <c r="C328" s="1" t="s">
        <v>49</v>
      </c>
      <c r="D328" s="1" t="s">
        <v>58</v>
      </c>
      <c r="E328" s="1">
        <v>25913</v>
      </c>
      <c r="F328" s="1" t="s">
        <v>794</v>
      </c>
      <c r="G328" s="2">
        <v>44245</v>
      </c>
      <c r="I328" s="3">
        <v>19</v>
      </c>
      <c r="J328" s="3">
        <v>8</v>
      </c>
      <c r="K328" s="4">
        <v>0.421052631578947</v>
      </c>
      <c r="L328" s="3">
        <v>6</v>
      </c>
      <c r="M328" s="3">
        <v>2</v>
      </c>
      <c r="N328" s="4">
        <v>0.105263157894737</v>
      </c>
      <c r="O328" s="3">
        <v>13</v>
      </c>
      <c r="P328" s="3">
        <v>6</v>
      </c>
      <c r="Q328" s="4">
        <v>0.315789473684211</v>
      </c>
      <c r="R328" s="3" t="str">
        <f t="shared" si="5"/>
        <v>教学三区</v>
      </c>
    </row>
    <row r="329" spans="1:18">
      <c r="A329" s="1" t="s">
        <v>544</v>
      </c>
      <c r="B329" s="1" t="s">
        <v>48</v>
      </c>
      <c r="C329" s="1" t="s">
        <v>49</v>
      </c>
      <c r="D329" s="1" t="s">
        <v>58</v>
      </c>
      <c r="E329" s="1">
        <v>23664</v>
      </c>
      <c r="F329" s="1" t="s">
        <v>110</v>
      </c>
      <c r="G329" s="2">
        <v>44147</v>
      </c>
      <c r="I329" s="3">
        <v>20</v>
      </c>
      <c r="J329" s="3">
        <v>8</v>
      </c>
      <c r="K329" s="4">
        <v>0.4</v>
      </c>
      <c r="L329" s="3">
        <v>11</v>
      </c>
      <c r="M329" s="3">
        <v>4</v>
      </c>
      <c r="N329" s="4">
        <v>0.2</v>
      </c>
      <c r="O329" s="3">
        <v>9</v>
      </c>
      <c r="P329" s="3">
        <v>4</v>
      </c>
      <c r="Q329" s="4">
        <v>0.2</v>
      </c>
      <c r="R329" s="3" t="str">
        <f t="shared" si="5"/>
        <v>教学三区</v>
      </c>
    </row>
    <row r="330" spans="1:18">
      <c r="A330" s="1" t="s">
        <v>544</v>
      </c>
      <c r="B330" s="1" t="s">
        <v>29</v>
      </c>
      <c r="C330" s="1" t="s">
        <v>30</v>
      </c>
      <c r="D330" s="1" t="s">
        <v>1</v>
      </c>
      <c r="E330" s="1">
        <v>21951</v>
      </c>
      <c r="F330" s="1" t="s">
        <v>795</v>
      </c>
      <c r="G330" s="2">
        <v>44051</v>
      </c>
      <c r="I330" s="3">
        <v>12</v>
      </c>
      <c r="J330" s="3">
        <v>8</v>
      </c>
      <c r="K330" s="4">
        <v>0.666666666666667</v>
      </c>
      <c r="L330" s="3">
        <v>10</v>
      </c>
      <c r="M330" s="3">
        <v>7</v>
      </c>
      <c r="N330" s="4">
        <v>0.583333333333333</v>
      </c>
      <c r="O330" s="3">
        <v>2</v>
      </c>
      <c r="P330" s="3">
        <v>1</v>
      </c>
      <c r="Q330" s="4">
        <v>0.0833333333333333</v>
      </c>
      <c r="R330" s="3" t="str">
        <f t="shared" si="5"/>
        <v>教学一区</v>
      </c>
    </row>
    <row r="331" spans="1:18">
      <c r="A331" s="1" t="s">
        <v>544</v>
      </c>
      <c r="B331" s="1" t="s">
        <v>29</v>
      </c>
      <c r="C331" s="1" t="s">
        <v>41</v>
      </c>
      <c r="D331" s="1" t="s">
        <v>1</v>
      </c>
      <c r="E331" s="1">
        <v>1077</v>
      </c>
      <c r="F331" s="1" t="s">
        <v>117</v>
      </c>
      <c r="G331" s="2">
        <v>43281</v>
      </c>
      <c r="I331" s="3">
        <v>6</v>
      </c>
      <c r="J331" s="3">
        <v>3</v>
      </c>
      <c r="K331" s="4">
        <v>0.5</v>
      </c>
      <c r="L331" s="3">
        <v>4</v>
      </c>
      <c r="M331" s="3">
        <v>2</v>
      </c>
      <c r="N331" s="4">
        <v>0.333333333333333</v>
      </c>
      <c r="O331" s="3">
        <v>2</v>
      </c>
      <c r="P331" s="3">
        <v>1</v>
      </c>
      <c r="Q331" s="4">
        <v>0.166666666666667</v>
      </c>
      <c r="R331" s="3" t="str">
        <f t="shared" si="5"/>
        <v>教学一区</v>
      </c>
    </row>
    <row r="332" spans="1:18">
      <c r="A332" s="1" t="s">
        <v>544</v>
      </c>
      <c r="B332" s="1" t="s">
        <v>36</v>
      </c>
      <c r="C332" s="1" t="s">
        <v>36</v>
      </c>
      <c r="D332" s="1" t="s">
        <v>37</v>
      </c>
      <c r="E332" s="1">
        <v>62619</v>
      </c>
      <c r="F332" s="1" t="s">
        <v>121</v>
      </c>
      <c r="G332" s="2">
        <v>44981</v>
      </c>
      <c r="I332" s="3">
        <v>2</v>
      </c>
      <c r="J332" s="3">
        <v>1</v>
      </c>
      <c r="K332" s="4">
        <v>0.5</v>
      </c>
      <c r="L332" s="3">
        <v>1</v>
      </c>
      <c r="M332" s="3">
        <v>1</v>
      </c>
      <c r="N332" s="4">
        <v>0.5</v>
      </c>
      <c r="O332" s="3">
        <v>1</v>
      </c>
      <c r="P332" s="3">
        <v>0</v>
      </c>
      <c r="Q332" s="4">
        <v>0</v>
      </c>
      <c r="R332" s="3" t="str">
        <f t="shared" si="5"/>
        <v>DEMO特战队</v>
      </c>
    </row>
    <row r="333" spans="1:18">
      <c r="A333" s="1" t="s">
        <v>544</v>
      </c>
      <c r="B333" s="1" t="s">
        <v>36</v>
      </c>
      <c r="C333" s="1" t="s">
        <v>36</v>
      </c>
      <c r="D333" s="1" t="s">
        <v>37</v>
      </c>
      <c r="E333" s="1">
        <v>13094</v>
      </c>
      <c r="F333" s="1" t="s">
        <v>796</v>
      </c>
      <c r="G333" s="2">
        <v>43903</v>
      </c>
      <c r="I333" s="3">
        <v>1</v>
      </c>
      <c r="J333" s="3">
        <v>0</v>
      </c>
      <c r="K333" s="4">
        <v>0</v>
      </c>
      <c r="L333" s="3">
        <v>1</v>
      </c>
      <c r="M333" s="3">
        <v>0</v>
      </c>
      <c r="N333" s="4">
        <v>0</v>
      </c>
      <c r="O333" s="3">
        <v>0</v>
      </c>
      <c r="P333" s="3">
        <v>0</v>
      </c>
      <c r="Q333" s="4">
        <v>0</v>
      </c>
      <c r="R333" s="3" t="str">
        <f t="shared" si="5"/>
        <v>DEMO特战队</v>
      </c>
    </row>
    <row r="334" spans="1:18">
      <c r="A334" s="1" t="s">
        <v>544</v>
      </c>
      <c r="B334" s="1" t="s">
        <v>36</v>
      </c>
      <c r="C334" s="1" t="s">
        <v>36</v>
      </c>
      <c r="D334" s="1" t="s">
        <v>37</v>
      </c>
      <c r="E334" s="1">
        <v>3003</v>
      </c>
      <c r="F334" s="1" t="s">
        <v>38</v>
      </c>
      <c r="G334" s="2">
        <v>43574</v>
      </c>
      <c r="I334" s="3">
        <v>2</v>
      </c>
      <c r="J334" s="3">
        <v>2</v>
      </c>
      <c r="K334" s="4">
        <v>1</v>
      </c>
      <c r="L334" s="3">
        <v>0</v>
      </c>
      <c r="M334" s="3">
        <v>0</v>
      </c>
      <c r="N334" s="4">
        <v>0</v>
      </c>
      <c r="O334" s="3">
        <v>2</v>
      </c>
      <c r="P334" s="3">
        <v>2</v>
      </c>
      <c r="Q334" s="4">
        <v>1</v>
      </c>
      <c r="R334" s="3" t="str">
        <f t="shared" si="5"/>
        <v>DEMO特战队</v>
      </c>
    </row>
    <row r="335" spans="1:18">
      <c r="A335" s="1" t="s">
        <v>544</v>
      </c>
      <c r="B335" s="1" t="s">
        <v>36</v>
      </c>
      <c r="C335" s="1" t="s">
        <v>36</v>
      </c>
      <c r="D335" s="1" t="s">
        <v>37</v>
      </c>
      <c r="E335" s="1">
        <v>1228</v>
      </c>
      <c r="F335" s="1" t="s">
        <v>57</v>
      </c>
      <c r="G335" s="2">
        <v>43277</v>
      </c>
      <c r="I335" s="3">
        <v>4</v>
      </c>
      <c r="J335" s="3">
        <v>3</v>
      </c>
      <c r="K335" s="4">
        <v>0.75</v>
      </c>
      <c r="L335" s="3">
        <v>1</v>
      </c>
      <c r="M335" s="3">
        <v>1</v>
      </c>
      <c r="N335" s="4">
        <v>0.25</v>
      </c>
      <c r="O335" s="3">
        <v>3</v>
      </c>
      <c r="P335" s="3">
        <v>2</v>
      </c>
      <c r="Q335" s="4">
        <v>0.5</v>
      </c>
      <c r="R335" s="3" t="str">
        <f t="shared" si="5"/>
        <v>DEMO特战队</v>
      </c>
    </row>
    <row r="336" spans="1:18">
      <c r="A336" s="1" t="s">
        <v>544</v>
      </c>
      <c r="B336" s="1" t="s">
        <v>36</v>
      </c>
      <c r="C336" s="1" t="s">
        <v>36</v>
      </c>
      <c r="D336" s="1" t="s">
        <v>37</v>
      </c>
      <c r="E336" s="1">
        <v>15384</v>
      </c>
      <c r="F336" s="1" t="s">
        <v>797</v>
      </c>
      <c r="G336" s="2">
        <v>43917</v>
      </c>
      <c r="I336" s="3">
        <v>2</v>
      </c>
      <c r="J336" s="3">
        <v>1</v>
      </c>
      <c r="K336" s="4">
        <v>0.5</v>
      </c>
      <c r="L336" s="3">
        <v>2</v>
      </c>
      <c r="M336" s="3">
        <v>1</v>
      </c>
      <c r="N336" s="4">
        <v>0.5</v>
      </c>
      <c r="O336" s="3">
        <v>0</v>
      </c>
      <c r="P336" s="3">
        <v>0</v>
      </c>
      <c r="Q336" s="4">
        <v>0</v>
      </c>
      <c r="R336" s="3" t="str">
        <f t="shared" si="5"/>
        <v>DEMO特战队</v>
      </c>
    </row>
    <row r="337" spans="1:18">
      <c r="A337" s="1" t="s">
        <v>544</v>
      </c>
      <c r="B337" s="1" t="s">
        <v>36</v>
      </c>
      <c r="C337" s="1" t="s">
        <v>36</v>
      </c>
      <c r="D337" s="1" t="s">
        <v>37</v>
      </c>
      <c r="E337" s="1">
        <v>3138</v>
      </c>
      <c r="F337" s="1" t="s">
        <v>798</v>
      </c>
      <c r="G337" s="2">
        <v>43601</v>
      </c>
      <c r="I337" s="3">
        <v>5</v>
      </c>
      <c r="J337" s="3">
        <v>3</v>
      </c>
      <c r="K337" s="4">
        <v>0.6</v>
      </c>
      <c r="L337" s="3">
        <v>3</v>
      </c>
      <c r="M337" s="3">
        <v>2</v>
      </c>
      <c r="N337" s="4">
        <v>0.4</v>
      </c>
      <c r="O337" s="3">
        <v>2</v>
      </c>
      <c r="P337" s="3">
        <v>1</v>
      </c>
      <c r="Q337" s="4">
        <v>0.2</v>
      </c>
      <c r="R337" s="3" t="str">
        <f t="shared" si="5"/>
        <v>DEMO特战队</v>
      </c>
    </row>
    <row r="338" spans="1:18">
      <c r="A338" s="1" t="s">
        <v>544</v>
      </c>
      <c r="B338" s="1" t="s">
        <v>36</v>
      </c>
      <c r="C338" s="1" t="s">
        <v>36</v>
      </c>
      <c r="D338" s="1" t="s">
        <v>94</v>
      </c>
      <c r="E338" s="1">
        <v>4104</v>
      </c>
      <c r="F338" s="1" t="s">
        <v>799</v>
      </c>
      <c r="G338" s="2">
        <v>43671</v>
      </c>
      <c r="I338" s="3">
        <v>10</v>
      </c>
      <c r="J338" s="3">
        <v>2</v>
      </c>
      <c r="K338" s="4">
        <v>0.2</v>
      </c>
      <c r="L338" s="3">
        <v>4</v>
      </c>
      <c r="M338" s="3">
        <v>1</v>
      </c>
      <c r="N338" s="4">
        <v>0.1</v>
      </c>
      <c r="O338" s="3">
        <v>6</v>
      </c>
      <c r="P338" s="3">
        <v>1</v>
      </c>
      <c r="Q338" s="4">
        <v>0.1</v>
      </c>
      <c r="R338" s="3" t="str">
        <f t="shared" si="5"/>
        <v>DEMO特战队</v>
      </c>
    </row>
    <row r="339" spans="1:18">
      <c r="A339" s="1" t="s">
        <v>544</v>
      </c>
      <c r="B339" s="1" t="s">
        <v>36</v>
      </c>
      <c r="C339" s="1" t="s">
        <v>36</v>
      </c>
      <c r="D339" s="1" t="s">
        <v>94</v>
      </c>
      <c r="E339" s="1">
        <v>3492</v>
      </c>
      <c r="F339" s="1" t="s">
        <v>104</v>
      </c>
      <c r="G339" s="2">
        <v>43628</v>
      </c>
      <c r="I339" s="3">
        <v>2</v>
      </c>
      <c r="J339" s="3">
        <v>0</v>
      </c>
      <c r="K339" s="4">
        <v>0</v>
      </c>
      <c r="L339" s="3">
        <v>2</v>
      </c>
      <c r="M339" s="3">
        <v>0</v>
      </c>
      <c r="N339" s="4">
        <v>0</v>
      </c>
      <c r="O339" s="3">
        <v>0</v>
      </c>
      <c r="P339" s="3">
        <v>0</v>
      </c>
      <c r="Q339" s="4">
        <v>0</v>
      </c>
      <c r="R339" s="3" t="str">
        <f t="shared" si="5"/>
        <v>DEMO特战队</v>
      </c>
    </row>
    <row r="340" spans="1:18">
      <c r="A340" s="1" t="s">
        <v>544</v>
      </c>
      <c r="B340" s="1" t="s">
        <v>36</v>
      </c>
      <c r="C340" s="1" t="s">
        <v>36</v>
      </c>
      <c r="D340" s="1" t="s">
        <v>94</v>
      </c>
      <c r="E340" s="1">
        <v>6188</v>
      </c>
      <c r="F340" s="1" t="s">
        <v>800</v>
      </c>
      <c r="G340" s="2">
        <v>43792</v>
      </c>
      <c r="I340" s="3">
        <v>1</v>
      </c>
      <c r="J340" s="3">
        <v>0</v>
      </c>
      <c r="K340" s="4">
        <v>0</v>
      </c>
      <c r="L340" s="3">
        <v>0</v>
      </c>
      <c r="M340" s="3">
        <v>0</v>
      </c>
      <c r="N340" s="4">
        <v>0</v>
      </c>
      <c r="O340" s="3">
        <v>1</v>
      </c>
      <c r="P340" s="3">
        <v>0</v>
      </c>
      <c r="Q340" s="4">
        <v>0</v>
      </c>
      <c r="R340" s="3" t="str">
        <f t="shared" si="5"/>
        <v>DEMO特战队</v>
      </c>
    </row>
    <row r="341" spans="1:18">
      <c r="A341" s="1" t="s">
        <v>544</v>
      </c>
      <c r="B341" s="1" t="s">
        <v>36</v>
      </c>
      <c r="C341" s="1" t="s">
        <v>36</v>
      </c>
      <c r="D341" s="1" t="s">
        <v>94</v>
      </c>
      <c r="E341" s="1">
        <v>3575</v>
      </c>
      <c r="F341" s="1" t="s">
        <v>801</v>
      </c>
      <c r="G341" s="2">
        <v>43678</v>
      </c>
      <c r="I341" s="3">
        <v>2</v>
      </c>
      <c r="J341" s="3">
        <v>0</v>
      </c>
      <c r="K341" s="4">
        <v>0</v>
      </c>
      <c r="L341" s="3">
        <v>0</v>
      </c>
      <c r="M341" s="3">
        <v>0</v>
      </c>
      <c r="N341" s="4">
        <v>0</v>
      </c>
      <c r="O341" s="3">
        <v>2</v>
      </c>
      <c r="P341" s="3">
        <v>0</v>
      </c>
      <c r="Q341" s="4">
        <v>0</v>
      </c>
      <c r="R341" s="3" t="str">
        <f t="shared" si="5"/>
        <v>DEMO特战队</v>
      </c>
    </row>
    <row r="342" spans="1:18">
      <c r="A342" s="1" t="s">
        <v>544</v>
      </c>
      <c r="B342" s="1" t="s">
        <v>48</v>
      </c>
      <c r="C342" s="1" t="s">
        <v>64</v>
      </c>
      <c r="D342" s="1" t="s">
        <v>1</v>
      </c>
      <c r="E342" s="1">
        <v>20809</v>
      </c>
      <c r="F342" s="1" t="s">
        <v>802</v>
      </c>
      <c r="G342" s="2">
        <v>43964</v>
      </c>
      <c r="I342" s="3">
        <v>17</v>
      </c>
      <c r="J342" s="3">
        <v>5</v>
      </c>
      <c r="K342" s="4">
        <v>0.294117647058824</v>
      </c>
      <c r="L342" s="3">
        <v>13</v>
      </c>
      <c r="M342" s="3">
        <v>4</v>
      </c>
      <c r="N342" s="4">
        <v>0.235294117647059</v>
      </c>
      <c r="O342" s="3">
        <v>4</v>
      </c>
      <c r="P342" s="3">
        <v>1</v>
      </c>
      <c r="Q342" s="4">
        <v>0.0588235294117647</v>
      </c>
      <c r="R342" s="3" t="str">
        <f t="shared" si="5"/>
        <v>教学三区</v>
      </c>
    </row>
  </sheetData>
  <autoFilter ref="A1:Q342">
    <sortState ref="A1:Q342">
      <sortCondition ref="C1:C342"/>
    </sortState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Q1续费排名（4月~7月免检）</vt:lpstr>
      <vt:lpstr>免检累计</vt:lpstr>
      <vt:lpstr>2026年2月 免检名单及免检成绩 </vt:lpstr>
      <vt:lpstr>违规汇总</vt:lpstr>
      <vt:lpstr>退费学员明细</vt:lpstr>
      <vt:lpstr>高危投诉成立（4月无）</vt:lpstr>
      <vt:lpstr>授课老师请假记录（截至2025.10.21）</vt:lpstr>
      <vt:lpstr>老师维度结课续费率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岑梓亮</dc:creator>
  <cp:lastModifiedBy>chiahuei</cp:lastModifiedBy>
  <dcterms:created xsi:type="dcterms:W3CDTF">2006-09-16T00:00:00Z</dcterms:created>
  <dcterms:modified xsi:type="dcterms:W3CDTF">2026-05-11T06:09:31Z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2052-10.8.2.7072</vt:lpwstr>
  </property>
  <property fmtid="{D5CDD505-2E9C-101B-9397-08002B2CF9AE}" pid="3" name="ICV">
    <vt:lpwstr>40A98D86DA584C308E060CC3A77C2587_13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